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Bahar\Pictures\New folder\"/>
    </mc:Choice>
  </mc:AlternateContent>
  <xr:revisionPtr revIDLastSave="0" documentId="8_{27DD7F8C-70DE-4823-AAAD-7BAA1D99A2B3}" xr6:coauthVersionLast="47" xr6:coauthVersionMax="47" xr10:uidLastSave="{00000000-0000-0000-0000-000000000000}"/>
  <bookViews>
    <workbookView xWindow="-120" yWindow="-120" windowWidth="29040" windowHeight="15840" xr2:uid="{00000000-000D-0000-FFFF-FFFF00000000}"/>
  </bookViews>
  <sheets>
    <sheet name="dashboard" sheetId="4" r:id="rId1"/>
    <sheet name="clean table" sheetId="2" r:id="rId2"/>
    <sheet name="messy_clinic_appointments" sheetId="1" r:id="rId3"/>
  </sheets>
  <definedNames>
    <definedName name="_xlnm._FilterDatabase" localSheetId="1" hidden="1">'clean table'!$A$1:$L$1001</definedName>
    <definedName name="_xlnm._FilterDatabase" localSheetId="2" hidden="1">messy_clinic_appointments!$A$1:$J$1001</definedName>
    <definedName name="Slicer_year">#N/A</definedName>
  </definedNames>
  <calcPr calcId="191029"/>
  <pivotCaches>
    <pivotCache cacheId="2"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2" i="2"/>
  <c r="L30" i="4"/>
  <c r="N3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<sst xmlns="http://schemas.openxmlformats.org/spreadsheetml/2006/main" count="10145" uniqueCount="2718">
  <si>
    <t>patient_id</t>
  </si>
  <si>
    <t>patient_name</t>
  </si>
  <si>
    <t>age</t>
  </si>
  <si>
    <t>gender</t>
  </si>
  <si>
    <t>appointment_date</t>
  </si>
  <si>
    <t>booking_date</t>
  </si>
  <si>
    <t>doctor</t>
  </si>
  <si>
    <t>department</t>
  </si>
  <si>
    <t>billing_amount</t>
  </si>
  <si>
    <t>follow_up_required</t>
  </si>
  <si>
    <t>Tammy Williams</t>
  </si>
  <si>
    <t>female</t>
  </si>
  <si>
    <t>Christopher Graham</t>
  </si>
  <si>
    <t>Cardiology</t>
  </si>
  <si>
    <t>Â£425.8</t>
  </si>
  <si>
    <t>Megan Strickland</t>
  </si>
  <si>
    <t>F</t>
  </si>
  <si>
    <t>Brandon Lewis</t>
  </si>
  <si>
    <t>Orthopedics</t>
  </si>
  <si>
    <t>â‚¬344.26</t>
  </si>
  <si>
    <t>Y</t>
  </si>
  <si>
    <t>Amanda Schroeder</t>
  </si>
  <si>
    <t>M</t>
  </si>
  <si>
    <t>Deanna Edwards</t>
  </si>
  <si>
    <t>Neurology</t>
  </si>
  <si>
    <t>â‚¬203.34</t>
  </si>
  <si>
    <t>Anthony Mcpherson</t>
  </si>
  <si>
    <t>Karen Parsons</t>
  </si>
  <si>
    <t>General</t>
  </si>
  <si>
    <t>Rs85.76</t>
  </si>
  <si>
    <t>No</t>
  </si>
  <si>
    <t>Benjamin Brown</t>
  </si>
  <si>
    <t>Andrea Hernandez</t>
  </si>
  <si>
    <t>Joe Sharp</t>
  </si>
  <si>
    <t>Kimberly Fields</t>
  </si>
  <si>
    <t>Yes</t>
  </si>
  <si>
    <t>Alexander Harris</t>
  </si>
  <si>
    <t>Female</t>
  </si>
  <si>
    <t>Jim Jones</t>
  </si>
  <si>
    <t>â‚¬99.0</t>
  </si>
  <si>
    <t>Raymond Williams</t>
  </si>
  <si>
    <t>James Brooks</t>
  </si>
  <si>
    <t>Rs374.63</t>
  </si>
  <si>
    <t>Dustin Willis</t>
  </si>
  <si>
    <t>Jamie Hill</t>
  </si>
  <si>
    <t>Tina Gallagher</t>
  </si>
  <si>
    <t>Tiffany Gates MD</t>
  </si>
  <si>
    <t>â‚¬494.97</t>
  </si>
  <si>
    <t>Robert Guerrero</t>
  </si>
  <si>
    <t>male</t>
  </si>
  <si>
    <t>Shane Brown</t>
  </si>
  <si>
    <t>Â£91.91</t>
  </si>
  <si>
    <t>Karen Walker</t>
  </si>
  <si>
    <t>Natalie White</t>
  </si>
  <si>
    <t>Chris Rice</t>
  </si>
  <si>
    <t>Amy Olson</t>
  </si>
  <si>
    <t>Rs277.14</t>
  </si>
  <si>
    <t>N</t>
  </si>
  <si>
    <t>Michael Mack</t>
  </si>
  <si>
    <t>John Larsen II</t>
  </si>
  <si>
    <t>â‚¬411.01</t>
  </si>
  <si>
    <t>Andrea Hubbard</t>
  </si>
  <si>
    <t>Andrea Gates</t>
  </si>
  <si>
    <t>Â£67.51</t>
  </si>
  <si>
    <t>Brian Jones</t>
  </si>
  <si>
    <t>Robert Navarro</t>
  </si>
  <si>
    <t>â‚¬163.99</t>
  </si>
  <si>
    <t>Kelly Olsen</t>
  </si>
  <si>
    <t>Male</t>
  </si>
  <si>
    <t>Christopher Bryant</t>
  </si>
  <si>
    <t>Â£252.38</t>
  </si>
  <si>
    <t>Andrew Oconnor</t>
  </si>
  <si>
    <t>Christina Hill</t>
  </si>
  <si>
    <t>Dennis Hurley</t>
  </si>
  <si>
    <t>Daniel Jacobson</t>
  </si>
  <si>
    <t>Rs329.3</t>
  </si>
  <si>
    <t>Paul Brock</t>
  </si>
  <si>
    <t>Kayla Savage</t>
  </si>
  <si>
    <t>â‚¬135.45</t>
  </si>
  <si>
    <t>Jennifer Aguirre</t>
  </si>
  <si>
    <t>Richard Huang</t>
  </si>
  <si>
    <t>Rs72.73</t>
  </si>
  <si>
    <t>Todd Wilson</t>
  </si>
  <si>
    <t>Rebecca Harrington</t>
  </si>
  <si>
    <t>Rs258.64</t>
  </si>
  <si>
    <t>Jeremiah Cole</t>
  </si>
  <si>
    <t>Louis Turner</t>
  </si>
  <si>
    <t>Vincent Brown</t>
  </si>
  <si>
    <t>Brianna Garcia</t>
  </si>
  <si>
    <t>Rs236.22</t>
  </si>
  <si>
    <t>Tracy Mcdonald</t>
  </si>
  <si>
    <t>Daniel Gutierrez</t>
  </si>
  <si>
    <t>Rs292.23</t>
  </si>
  <si>
    <t>Phillip Simpson</t>
  </si>
  <si>
    <t>Darren Brooks</t>
  </si>
  <si>
    <t>Penny Friedman</t>
  </si>
  <si>
    <t>Janice Taylor</t>
  </si>
  <si>
    <t>Â£218.84</t>
  </si>
  <si>
    <t>Cynthia Hensley</t>
  </si>
  <si>
    <t>David Robles</t>
  </si>
  <si>
    <t>Rs160.38</t>
  </si>
  <si>
    <t>Cassandra Gardner</t>
  </si>
  <si>
    <t>Gregory Kirk</t>
  </si>
  <si>
    <t>Rs342.38</t>
  </si>
  <si>
    <t>Patrick Saunders</t>
  </si>
  <si>
    <t>Casey Wagner</t>
  </si>
  <si>
    <t>Rs208.91</t>
  </si>
  <si>
    <t>Angel Kelly</t>
  </si>
  <si>
    <t>Stephanie Taylor</t>
  </si>
  <si>
    <t>Rs426.86</t>
  </si>
  <si>
    <t>Heather Baker</t>
  </si>
  <si>
    <t>Andrew Thomas</t>
  </si>
  <si>
    <t>Â£215.31</t>
  </si>
  <si>
    <t>Stacy Cunningham</t>
  </si>
  <si>
    <t>Laura Klein</t>
  </si>
  <si>
    <t>Â£413.53</t>
  </si>
  <si>
    <t>Nicole Shaw</t>
  </si>
  <si>
    <t>Mr. Brian Morton</t>
  </si>
  <si>
    <t>Michele Park</t>
  </si>
  <si>
    <t>Robert Sparks</t>
  </si>
  <si>
    <t>Â£396.22</t>
  </si>
  <si>
    <t>Leslie Silva</t>
  </si>
  <si>
    <t>Thomas Brandt</t>
  </si>
  <si>
    <t>Katelyn Smith</t>
  </si>
  <si>
    <t>Robert Henry</t>
  </si>
  <si>
    <t>John Yang</t>
  </si>
  <si>
    <t>Anthony Jensen</t>
  </si>
  <si>
    <t>Judy Blair</t>
  </si>
  <si>
    <t>Kevin Benton</t>
  </si>
  <si>
    <t>Rs175.63</t>
  </si>
  <si>
    <t>Jennifer Long</t>
  </si>
  <si>
    <t>Thomas Hernandez</t>
  </si>
  <si>
    <t>â‚¬320.66</t>
  </si>
  <si>
    <t>Melanie Gibson</t>
  </si>
  <si>
    <t>Alison Stanton</t>
  </si>
  <si>
    <t>Amanda Jones</t>
  </si>
  <si>
    <t>Christopher Morris</t>
  </si>
  <si>
    <t>â‚¬499.75</t>
  </si>
  <si>
    <t>Donna West</t>
  </si>
  <si>
    <t>Troy Hill</t>
  </si>
  <si>
    <t>Rs452.11</t>
  </si>
  <si>
    <t>Edward Sanders</t>
  </si>
  <si>
    <t>Steven Bailey</t>
  </si>
  <si>
    <t>Rs479.77</t>
  </si>
  <si>
    <t>Michael Levine</t>
  </si>
  <si>
    <t>Janet Ray</t>
  </si>
  <si>
    <t>Â£213.35</t>
  </si>
  <si>
    <t>Loretta Richardson</t>
  </si>
  <si>
    <t>Shane Jackson</t>
  </si>
  <si>
    <t>Rs120.34</t>
  </si>
  <si>
    <t>Kathleen Jones</t>
  </si>
  <si>
    <t>Diana Baker</t>
  </si>
  <si>
    <t>Rs135.43</t>
  </si>
  <si>
    <t>Michael Allen</t>
  </si>
  <si>
    <t>Brian Osborne DVM</t>
  </si>
  <si>
    <t>â‚¬214.44</t>
  </si>
  <si>
    <t>Kari Jackson</t>
  </si>
  <si>
    <t>Jeremiah Rose</t>
  </si>
  <si>
    <t>Rs376.08</t>
  </si>
  <si>
    <t>Kim Allen</t>
  </si>
  <si>
    <t>Nancy Levine MD</t>
  </si>
  <si>
    <t>â‚¬343.51</t>
  </si>
  <si>
    <t>Regina Wilson</t>
  </si>
  <si>
    <t>Jenny Zuniga</t>
  </si>
  <si>
    <t>Rs185.66</t>
  </si>
  <si>
    <t>Samantha Mosley</t>
  </si>
  <si>
    <t>Thomas Thomas</t>
  </si>
  <si>
    <t>â‚¬200.01</t>
  </si>
  <si>
    <t>Kathleen Porter</t>
  </si>
  <si>
    <t>Christine Calhoun</t>
  </si>
  <si>
    <t>Cheryl Michael</t>
  </si>
  <si>
    <t>Thomas Bennett</t>
  </si>
  <si>
    <t>Rs393.4</t>
  </si>
  <si>
    <t>Lawrence Rios</t>
  </si>
  <si>
    <t>Christopher Lee</t>
  </si>
  <si>
    <t>Â£387.4</t>
  </si>
  <si>
    <t>Vanessa Jones</t>
  </si>
  <si>
    <t>Courtney Knight</t>
  </si>
  <si>
    <t>Tiffany Burke</t>
  </si>
  <si>
    <t>Charles Lopez</t>
  </si>
  <si>
    <t>Joseph Church</t>
  </si>
  <si>
    <t>Ricky Velazquez</t>
  </si>
  <si>
    <t>Rs68.81</t>
  </si>
  <si>
    <t>Heather Jackson</t>
  </si>
  <si>
    <t>Todd Silva</t>
  </si>
  <si>
    <t>Rs365.13</t>
  </si>
  <si>
    <t>Adam Sanders</t>
  </si>
  <si>
    <t>Patrick Floyd</t>
  </si>
  <si>
    <t>Edward Perry</t>
  </si>
  <si>
    <t>James Miller</t>
  </si>
  <si>
    <t>Rs484.52</t>
  </si>
  <si>
    <t>Bonnie Boone</t>
  </si>
  <si>
    <t>Lorraine Figueroa</t>
  </si>
  <si>
    <t>â‚¬114.45</t>
  </si>
  <si>
    <t>Robert Brown</t>
  </si>
  <si>
    <t>Jamie Sosa</t>
  </si>
  <si>
    <t>â‚¬195.21</t>
  </si>
  <si>
    <t>Matthew Cross</t>
  </si>
  <si>
    <t>Connie Wood</t>
  </si>
  <si>
    <t>Jennifer Stark</t>
  </si>
  <si>
    <t>Jason Williams</t>
  </si>
  <si>
    <t>Rs270.33</t>
  </si>
  <si>
    <t>Jordan Camacho Jr.</t>
  </si>
  <si>
    <t>Alexis Carter</t>
  </si>
  <si>
    <t>Elizabeth Bryant</t>
  </si>
  <si>
    <t>Rebecca Kim</t>
  </si>
  <si>
    <t>Rs425.63</t>
  </si>
  <si>
    <t>Matthew Valdez</t>
  </si>
  <si>
    <t>Rachel Terry</t>
  </si>
  <si>
    <t>Â£91.77</t>
  </si>
  <si>
    <t>Richard Woodard</t>
  </si>
  <si>
    <t>Whitney Hoffman</t>
  </si>
  <si>
    <t>â‚¬91.27</t>
  </si>
  <si>
    <t>Chad Reed</t>
  </si>
  <si>
    <t>Jennifer Adams</t>
  </si>
  <si>
    <t>Â£453.06</t>
  </si>
  <si>
    <t>Jessica Heath</t>
  </si>
  <si>
    <t>Sherri Long</t>
  </si>
  <si>
    <t>â‚¬61.37</t>
  </si>
  <si>
    <t>Clayton Williamson</t>
  </si>
  <si>
    <t>Glen Diaz</t>
  </si>
  <si>
    <t>Timothy Walter</t>
  </si>
  <si>
    <t>Miss Julie Rodriguez</t>
  </si>
  <si>
    <t>Â£112.48</t>
  </si>
  <si>
    <t>Katelyn Miller</t>
  </si>
  <si>
    <t>Andrea Cruz</t>
  </si>
  <si>
    <t>Elizabeth Decker</t>
  </si>
  <si>
    <t>Brandi Hale</t>
  </si>
  <si>
    <t>Rs168.18</t>
  </si>
  <si>
    <t>Jessica Smith</t>
  </si>
  <si>
    <t>Crystal Mack</t>
  </si>
  <si>
    <t>James Johnston</t>
  </si>
  <si>
    <t>Drew Bartlett</t>
  </si>
  <si>
    <t>Christine Price</t>
  </si>
  <si>
    <t>Susan Brown</t>
  </si>
  <si>
    <t>Amy Mayer</t>
  </si>
  <si>
    <t>Jim Patterson</t>
  </si>
  <si>
    <t>â‚¬253.4</t>
  </si>
  <si>
    <t>Samuel Moore</t>
  </si>
  <si>
    <t>Heather Everett</t>
  </si>
  <si>
    <t>Rs83.09</t>
  </si>
  <si>
    <t>Jamie Mcclure</t>
  </si>
  <si>
    <t>Katherine Sanders</t>
  </si>
  <si>
    <t>Luke Price</t>
  </si>
  <si>
    <t>Virginia Lang</t>
  </si>
  <si>
    <t>Rs260.4</t>
  </si>
  <si>
    <t>Luis Rodriguez</t>
  </si>
  <si>
    <t>Samantha Bass MD</t>
  </si>
  <si>
    <t>Pamela Brown</t>
  </si>
  <si>
    <t>Melinda Duncan</t>
  </si>
  <si>
    <t>Craig Nixon</t>
  </si>
  <si>
    <t>William Key</t>
  </si>
  <si>
    <t>Â£341.19</t>
  </si>
  <si>
    <t>Justin Caldwell</t>
  </si>
  <si>
    <t>Ronnie Miller</t>
  </si>
  <si>
    <t>Rs383.69</t>
  </si>
  <si>
    <t>Cassandra Collins</t>
  </si>
  <si>
    <t>Mark Lutz</t>
  </si>
  <si>
    <t>â‚¬243.78</t>
  </si>
  <si>
    <t>Adam Torres</t>
  </si>
  <si>
    <t>Daniel Le</t>
  </si>
  <si>
    <t>Rs329.25</t>
  </si>
  <si>
    <t>Carol Foster</t>
  </si>
  <si>
    <t>Bryan Mann</t>
  </si>
  <si>
    <t>â‚¬389.37</t>
  </si>
  <si>
    <t>Chelsey Moore</t>
  </si>
  <si>
    <t>Randy Garrett</t>
  </si>
  <si>
    <t>Â£344.56</t>
  </si>
  <si>
    <t>John Hensley</t>
  </si>
  <si>
    <t>Paul Tate</t>
  </si>
  <si>
    <t>Rs289.07</t>
  </si>
  <si>
    <t>Chelsea Burns</t>
  </si>
  <si>
    <t>Michael Morales</t>
  </si>
  <si>
    <t>Rs193.6</t>
  </si>
  <si>
    <t>Ryan Miller</t>
  </si>
  <si>
    <t>Alexa Peterson</t>
  </si>
  <si>
    <t>Rs259.72</t>
  </si>
  <si>
    <t>Jared Green</t>
  </si>
  <si>
    <t>Brenda Castro</t>
  </si>
  <si>
    <t>â‚¬235.69</t>
  </si>
  <si>
    <t>Traci Chandler</t>
  </si>
  <si>
    <t>Tyler Carter</t>
  </si>
  <si>
    <t>â‚¬428.75</t>
  </si>
  <si>
    <t>Kenneth Graham</t>
  </si>
  <si>
    <t>Wayne Graham</t>
  </si>
  <si>
    <t>Angela Watkins</t>
  </si>
  <si>
    <t>Kyle Russell</t>
  </si>
  <si>
    <t>Â£109.31</t>
  </si>
  <si>
    <t>Keith Becker</t>
  </si>
  <si>
    <t>Kristopher Collier</t>
  </si>
  <si>
    <t>Nicole Hoffman</t>
  </si>
  <si>
    <t>Robert Mitchell</t>
  </si>
  <si>
    <t>Hannah Perez</t>
  </si>
  <si>
    <t>Rita Smith</t>
  </si>
  <si>
    <t>Â£111.92</t>
  </si>
  <si>
    <t>Amanda Fuller</t>
  </si>
  <si>
    <t>Anthony Cruz</t>
  </si>
  <si>
    <t>Tina Lewis</t>
  </si>
  <si>
    <t>Derrick Salazar</t>
  </si>
  <si>
    <t>Â£59.67</t>
  </si>
  <si>
    <t>Sarah Hahn</t>
  </si>
  <si>
    <t>Theresa Lee</t>
  </si>
  <si>
    <t>Rs123.03</t>
  </si>
  <si>
    <t>Destiny Martin</t>
  </si>
  <si>
    <t>Lynn Jones</t>
  </si>
  <si>
    <t>Rs420.58</t>
  </si>
  <si>
    <t>Megan Mitchell</t>
  </si>
  <si>
    <t>Desiree Giles</t>
  </si>
  <si>
    <t>â‚¬351.17</t>
  </si>
  <si>
    <t>Benjamin Hughes</t>
  </si>
  <si>
    <t>Nicholas Mcneil</t>
  </si>
  <si>
    <t>Â£125.31</t>
  </si>
  <si>
    <t>John Anderson</t>
  </si>
  <si>
    <t>Paul Blackburn</t>
  </si>
  <si>
    <t>â‚¬253.42</t>
  </si>
  <si>
    <t>Chelsea Matthews</t>
  </si>
  <si>
    <t>Elizabeth Obrien</t>
  </si>
  <si>
    <t>â‚¬359.78</t>
  </si>
  <si>
    <t>Monica Horton</t>
  </si>
  <si>
    <t>Kayla Stein</t>
  </si>
  <si>
    <t>Joanna Tucker</t>
  </si>
  <si>
    <t>Andrew Gray</t>
  </si>
  <si>
    <t>Â£84.69</t>
  </si>
  <si>
    <t>Dr. Peggy Mendoza</t>
  </si>
  <si>
    <t>Ashley Flowers</t>
  </si>
  <si>
    <t>â‚¬96.94</t>
  </si>
  <si>
    <t>Victoria Gomez</t>
  </si>
  <si>
    <t>Nicole Chandler</t>
  </si>
  <si>
    <t>Rs205.35</t>
  </si>
  <si>
    <t>Daniel Rivera</t>
  </si>
  <si>
    <t>Morgan Green</t>
  </si>
  <si>
    <t>Rs155.42</t>
  </si>
  <si>
    <t>Harry Wallace</t>
  </si>
  <si>
    <t>Nancy Hernandez</t>
  </si>
  <si>
    <t>Alicia Scott</t>
  </si>
  <si>
    <t>William Cochran</t>
  </si>
  <si>
    <t>Melissa Lane</t>
  </si>
  <si>
    <t>Vanessa Pittman</t>
  </si>
  <si>
    <t>â‚¬122.6</t>
  </si>
  <si>
    <t>Olivia Lambert</t>
  </si>
  <si>
    <t>Melanie Blanchard</t>
  </si>
  <si>
    <t>Â£100.34</t>
  </si>
  <si>
    <t>Russell Taylor</t>
  </si>
  <si>
    <t>Breanna Gray</t>
  </si>
  <si>
    <t>Rs335.07</t>
  </si>
  <si>
    <t>Joshua Sanchez DDS</t>
  </si>
  <si>
    <t>George Flores</t>
  </si>
  <si>
    <t>Â£154.29</t>
  </si>
  <si>
    <t>Kayla Drake</t>
  </si>
  <si>
    <t>Jennifer Long DDS</t>
  </si>
  <si>
    <t>Karen Carter</t>
  </si>
  <si>
    <t>Chase Clark</t>
  </si>
  <si>
    <t>Rs401.33</t>
  </si>
  <si>
    <t>Andrew Baker</t>
  </si>
  <si>
    <t>Michael Gillespie</t>
  </si>
  <si>
    <t>Richard Hernandez</t>
  </si>
  <si>
    <t>Daniel Bradley</t>
  </si>
  <si>
    <t>Â£482.25</t>
  </si>
  <si>
    <t>Matthew Rivera</t>
  </si>
  <si>
    <t>Theodore Bean</t>
  </si>
  <si>
    <t>â‚¬255.82</t>
  </si>
  <si>
    <t>Benjamin Jenkins</t>
  </si>
  <si>
    <t>Michael Bond</t>
  </si>
  <si>
    <t>â‚¬258.12</t>
  </si>
  <si>
    <t>John Johnson</t>
  </si>
  <si>
    <t>Steve Bush</t>
  </si>
  <si>
    <t>Martha Zavala</t>
  </si>
  <si>
    <t>Penny Freeman</t>
  </si>
  <si>
    <t>Â£153.05</t>
  </si>
  <si>
    <t>Daniel Ballard</t>
  </si>
  <si>
    <t>Willie Williams</t>
  </si>
  <si>
    <t>Â£114.64</t>
  </si>
  <si>
    <t>Mariah Davis</t>
  </si>
  <si>
    <t>Douglas Ford</t>
  </si>
  <si>
    <t>Â£381.62</t>
  </si>
  <si>
    <t>Timothy Osborne</t>
  </si>
  <si>
    <t>Christopher Ferguson</t>
  </si>
  <si>
    <t>Â£215.46</t>
  </si>
  <si>
    <t>Kelsey Collins</t>
  </si>
  <si>
    <t>Gabrielle Collins</t>
  </si>
  <si>
    <t>David Kramer</t>
  </si>
  <si>
    <t>Anne Watkins</t>
  </si>
  <si>
    <t>Â£325.97</t>
  </si>
  <si>
    <t>Patricia King</t>
  </si>
  <si>
    <t>Sheri Kline</t>
  </si>
  <si>
    <t>Jennifer Russell</t>
  </si>
  <si>
    <t>Â£377.14</t>
  </si>
  <si>
    <t>Troy White</t>
  </si>
  <si>
    <t>Cindy Cox</t>
  </si>
  <si>
    <t>David Young</t>
  </si>
  <si>
    <t>Amy Williams</t>
  </si>
  <si>
    <t>Tim Flowers</t>
  </si>
  <si>
    <t>Kimberly Henson</t>
  </si>
  <si>
    <t>Rs139.81</t>
  </si>
  <si>
    <t>Gregory Garcia</t>
  </si>
  <si>
    <t>Megan Jensen</t>
  </si>
  <si>
    <t>Max Martinez</t>
  </si>
  <si>
    <t>Joshua Sellers</t>
  </si>
  <si>
    <t>Rs352.03</t>
  </si>
  <si>
    <t>Paul Hinton</t>
  </si>
  <si>
    <t>Lindsey Fitzpatrick</t>
  </si>
  <si>
    <t>Thomas Landry</t>
  </si>
  <si>
    <t>Brandon Moore</t>
  </si>
  <si>
    <t>Alexander Le</t>
  </si>
  <si>
    <t>Cynthia Booker</t>
  </si>
  <si>
    <t>Â£252.22</t>
  </si>
  <si>
    <t>Joseph Irwin</t>
  </si>
  <si>
    <t>Jacob Kerr</t>
  </si>
  <si>
    <t>Â£206.74</t>
  </si>
  <si>
    <t>Corey Smith</t>
  </si>
  <si>
    <t>Luke Williams</t>
  </si>
  <si>
    <t>Brandon Baker</t>
  </si>
  <si>
    <t>Alison Walters</t>
  </si>
  <si>
    <t>Â£106.33</t>
  </si>
  <si>
    <t>John Campbell</t>
  </si>
  <si>
    <t>Tanya Baxter</t>
  </si>
  <si>
    <t>Craig Hunt</t>
  </si>
  <si>
    <t>Cynthia Brown</t>
  </si>
  <si>
    <t>Lisa Cameron</t>
  </si>
  <si>
    <t>Karen Hunt</t>
  </si>
  <si>
    <t>Â£238.81</t>
  </si>
  <si>
    <t>Nathaniel Wood</t>
  </si>
  <si>
    <t>Alec Hill</t>
  </si>
  <si>
    <t>Rs413.21</t>
  </si>
  <si>
    <t>Dr. Lindsey Arias DDS</t>
  </si>
  <si>
    <t>Colton Williams</t>
  </si>
  <si>
    <t>â‚¬91.87</t>
  </si>
  <si>
    <t>Timothy Matthews</t>
  </si>
  <si>
    <t>Brandy Sutton</t>
  </si>
  <si>
    <t>â‚¬485.5</t>
  </si>
  <si>
    <t>Katelyn Byrd</t>
  </si>
  <si>
    <t>Barbara Chavez</t>
  </si>
  <si>
    <t>Â£209.81</t>
  </si>
  <si>
    <t>Jeffrey Bates</t>
  </si>
  <si>
    <t>Lisa Ho</t>
  </si>
  <si>
    <t>Kevin Johnson</t>
  </si>
  <si>
    <t>Lance Smith</t>
  </si>
  <si>
    <t>Rs283.3</t>
  </si>
  <si>
    <t>Kelly Mcknight</t>
  </si>
  <si>
    <t>Jerry Lopez</t>
  </si>
  <si>
    <t>Â£146.2</t>
  </si>
  <si>
    <t>Jamie Wright</t>
  </si>
  <si>
    <t>Lori Hall</t>
  </si>
  <si>
    <t>â‚¬211.18</t>
  </si>
  <si>
    <t>Kimberly Conner</t>
  </si>
  <si>
    <t>Steven Holland</t>
  </si>
  <si>
    <t>Â£476.99</t>
  </si>
  <si>
    <t>Kelli Page</t>
  </si>
  <si>
    <t>Stephanie Wall</t>
  </si>
  <si>
    <t>Deanna Abbott</t>
  </si>
  <si>
    <t>Damon Hayes</t>
  </si>
  <si>
    <t>Â£192.67</t>
  </si>
  <si>
    <t>Lindsay Rodriguez</t>
  </si>
  <si>
    <t>Troy Lynch</t>
  </si>
  <si>
    <t>Christopher Singleton</t>
  </si>
  <si>
    <t>Brandy Graves</t>
  </si>
  <si>
    <t>Michael Walsh</t>
  </si>
  <si>
    <t>Tammy Watts</t>
  </si>
  <si>
    <t>Â£117.14</t>
  </si>
  <si>
    <t>Caroline Reed</t>
  </si>
  <si>
    <t>Eric Kelly</t>
  </si>
  <si>
    <t>Rs433.77</t>
  </si>
  <si>
    <t>Jennifer Wells</t>
  </si>
  <si>
    <t>David Cole</t>
  </si>
  <si>
    <t>Gary Walker</t>
  </si>
  <si>
    <t>Matthew Lopez</t>
  </si>
  <si>
    <t>Rs216.23</t>
  </si>
  <si>
    <t>Michelle Johnson</t>
  </si>
  <si>
    <t>Jennifer Brooks</t>
  </si>
  <si>
    <t>â‚¬492.98</t>
  </si>
  <si>
    <t>Malik Robinson</t>
  </si>
  <si>
    <t>Amber Little</t>
  </si>
  <si>
    <t>Rs280.77</t>
  </si>
  <si>
    <t>Michael Glenn</t>
  </si>
  <si>
    <t>Robert Martinez</t>
  </si>
  <si>
    <t>Anthony Cortez</t>
  </si>
  <si>
    <t>Derrick Cook</t>
  </si>
  <si>
    <t>Daniel Cole</t>
  </si>
  <si>
    <t>Dustin Jones</t>
  </si>
  <si>
    <t>Matthew Lloyd</t>
  </si>
  <si>
    <t>Timothy Morgan</t>
  </si>
  <si>
    <t>â‚¬244.78</t>
  </si>
  <si>
    <t>Jason Hicks</t>
  </si>
  <si>
    <t>Stacey Garcia</t>
  </si>
  <si>
    <t>â‚¬330.37</t>
  </si>
  <si>
    <t>Stephanie Cisneros</t>
  </si>
  <si>
    <t>Rachel Richards</t>
  </si>
  <si>
    <t>Â£98.14</t>
  </si>
  <si>
    <t>Troy Taylor</t>
  </si>
  <si>
    <t>Jason Gill</t>
  </si>
  <si>
    <t>Â£464.69</t>
  </si>
  <si>
    <t>Charles Cruz</t>
  </si>
  <si>
    <t>Jessica Sawyer</t>
  </si>
  <si>
    <t>Â£91.65</t>
  </si>
  <si>
    <t>Brenda Ward</t>
  </si>
  <si>
    <t>Tonya Smith</t>
  </si>
  <si>
    <t>Rs425.67</t>
  </si>
  <si>
    <t>David Martinez</t>
  </si>
  <si>
    <t>Amber Braun</t>
  </si>
  <si>
    <t>Alex Webster</t>
  </si>
  <si>
    <t>Lorraine Schroeder</t>
  </si>
  <si>
    <t>â‚¬140.86</t>
  </si>
  <si>
    <t>Carl Sanchez</t>
  </si>
  <si>
    <t>Christina Price</t>
  </si>
  <si>
    <t>Lucas Ray</t>
  </si>
  <si>
    <t>Carrie Larsen</t>
  </si>
  <si>
    <t>Â£138.59</t>
  </si>
  <si>
    <t>Cynthia Wells</t>
  </si>
  <si>
    <t>Ashlee Romero</t>
  </si>
  <si>
    <t>Â£448.6</t>
  </si>
  <si>
    <t>Dwayne Clarke</t>
  </si>
  <si>
    <t>Andrew Meadows</t>
  </si>
  <si>
    <t>â‚¬150.94</t>
  </si>
  <si>
    <t>James Jimenez</t>
  </si>
  <si>
    <t>Ryan Marsh</t>
  </si>
  <si>
    <t>â‚¬339.19</t>
  </si>
  <si>
    <t>Dr. Michele Copeland</t>
  </si>
  <si>
    <t>Debra Castillo</t>
  </si>
  <si>
    <t>â‚¬187.28</t>
  </si>
  <si>
    <t>Travis Allen MD</t>
  </si>
  <si>
    <t>Karen White</t>
  </si>
  <si>
    <t>â‚¬157.66</t>
  </si>
  <si>
    <t>Bradley Fuller</t>
  </si>
  <si>
    <t>Rs69.97</t>
  </si>
  <si>
    <t>Miss Crystal Davis DDS</t>
  </si>
  <si>
    <t>Christopher Hayes</t>
  </si>
  <si>
    <t>Â£490.55</t>
  </si>
  <si>
    <t>Kara White</t>
  </si>
  <si>
    <t>Kyle Dawson</t>
  </si>
  <si>
    <t>â‚¬315.64</t>
  </si>
  <si>
    <t>Briana Guerrero</t>
  </si>
  <si>
    <t>Molly Warner</t>
  </si>
  <si>
    <t>Â£231.08</t>
  </si>
  <si>
    <t>Judy Nguyen</t>
  </si>
  <si>
    <t>Michelle Ortega</t>
  </si>
  <si>
    <t>Sandra Murphy</t>
  </si>
  <si>
    <t>Shelby Brown</t>
  </si>
  <si>
    <t>Rs93.12</t>
  </si>
  <si>
    <t>Debra Ford</t>
  </si>
  <si>
    <t>Allison Smith</t>
  </si>
  <si>
    <t>Â£461.81</t>
  </si>
  <si>
    <t>Michelle Harris</t>
  </si>
  <si>
    <t>Matthew Garrett</t>
  </si>
  <si>
    <t>â‚¬130.72</t>
  </si>
  <si>
    <t>Ariel Davis</t>
  </si>
  <si>
    <t>Jason Gallagher</t>
  </si>
  <si>
    <t>Rs85.63</t>
  </si>
  <si>
    <t>Anna Garrett</t>
  </si>
  <si>
    <t>Alice Lucas</t>
  </si>
  <si>
    <t>â‚¬394.9</t>
  </si>
  <si>
    <t>Kimberly Guzman</t>
  </si>
  <si>
    <t>Kristin Reeves</t>
  </si>
  <si>
    <t>Terry Miller</t>
  </si>
  <si>
    <t>John Lyons</t>
  </si>
  <si>
    <t>Marissa Davidson</t>
  </si>
  <si>
    <t>Philip Davis</t>
  </si>
  <si>
    <t>Â£499.67</t>
  </si>
  <si>
    <t>Emma Martin</t>
  </si>
  <si>
    <t>Charles Mcmillan</t>
  </si>
  <si>
    <t>â‚¬66.64</t>
  </si>
  <si>
    <t>William Lewis</t>
  </si>
  <si>
    <t>Wesley Johnson</t>
  </si>
  <si>
    <t>Rs361.31</t>
  </si>
  <si>
    <t>Robert Mclaughlin</t>
  </si>
  <si>
    <t>Shannon Mejia</t>
  </si>
  <si>
    <t>Â£205.31</t>
  </si>
  <si>
    <t>William Sparks</t>
  </si>
  <si>
    <t>Jeffrey Ashley Jr.</t>
  </si>
  <si>
    <t>Rs193.18</t>
  </si>
  <si>
    <t>David Kidd</t>
  </si>
  <si>
    <t>Kathy Thompson</t>
  </si>
  <si>
    <t>Â£321.34</t>
  </si>
  <si>
    <t>Brandon Martin</t>
  </si>
  <si>
    <t>John Miller</t>
  </si>
  <si>
    <t>Amanda Martinez</t>
  </si>
  <si>
    <t>Gary Bowman</t>
  </si>
  <si>
    <t>Nancy Barry</t>
  </si>
  <si>
    <t>Katherine Espinoza</t>
  </si>
  <si>
    <t>Rs493.59</t>
  </si>
  <si>
    <t>Clinton Estrada</t>
  </si>
  <si>
    <t>Jacob Bender</t>
  </si>
  <si>
    <t>Maria Douglas</t>
  </si>
  <si>
    <t>Daniel Evans</t>
  </si>
  <si>
    <t>â‚¬489.64</t>
  </si>
  <si>
    <t>Walter Webb</t>
  </si>
  <si>
    <t>Dale Herrera</t>
  </si>
  <si>
    <t>Megan Avery</t>
  </si>
  <si>
    <t>Michael Arroyo Jr.</t>
  </si>
  <si>
    <t>Brianna Morris</t>
  </si>
  <si>
    <t>Gregory West DDS</t>
  </si>
  <si>
    <t>â‚¬422.79</t>
  </si>
  <si>
    <t>Judy Avila</t>
  </si>
  <si>
    <t>Morgan Ramos</t>
  </si>
  <si>
    <t>Rs330.43</t>
  </si>
  <si>
    <t>Erika Davis</t>
  </si>
  <si>
    <t>Allison Parker</t>
  </si>
  <si>
    <t>Â£440.72</t>
  </si>
  <si>
    <t>Jeffrey Solis</t>
  </si>
  <si>
    <t>William Nichols</t>
  </si>
  <si>
    <t>â‚¬287.03</t>
  </si>
  <si>
    <t>Scott Graves</t>
  </si>
  <si>
    <t>Marie Clark</t>
  </si>
  <si>
    <t>â‚¬489.0</t>
  </si>
  <si>
    <t>Ellen Fitzpatrick</t>
  </si>
  <si>
    <t>Grant Parker</t>
  </si>
  <si>
    <t>Â£201.19</t>
  </si>
  <si>
    <t>Mark Harrison</t>
  </si>
  <si>
    <t>Jennifer Hernandez</t>
  </si>
  <si>
    <t>â‚¬155.45</t>
  </si>
  <si>
    <t>Daniel Barajas</t>
  </si>
  <si>
    <t>Joshua Burnett</t>
  </si>
  <si>
    <t>Â£236.44</t>
  </si>
  <si>
    <t>Christine Murphy</t>
  </si>
  <si>
    <t>Amanda Mendoza</t>
  </si>
  <si>
    <t>Richard Wagner</t>
  </si>
  <si>
    <t>Christopher Sherman</t>
  </si>
  <si>
    <t>â‚¬270.47</t>
  </si>
  <si>
    <t>Eric Coffey</t>
  </si>
  <si>
    <t>Jeffrey Burns</t>
  </si>
  <si>
    <t>Rs284.29</t>
  </si>
  <si>
    <t>Tony Gibbs</t>
  </si>
  <si>
    <t>Brandon Morris</t>
  </si>
  <si>
    <t>â‚¬354.36</t>
  </si>
  <si>
    <t>Stephanie Bryant</t>
  </si>
  <si>
    <t>Sara Booth</t>
  </si>
  <si>
    <t>Â£452.69</t>
  </si>
  <si>
    <t>Eric Allen</t>
  </si>
  <si>
    <t>Amanda Mclaughlin</t>
  </si>
  <si>
    <t>Â£329.83</t>
  </si>
  <si>
    <t>Robert Jimenez</t>
  </si>
  <si>
    <t>Tony Randall</t>
  </si>
  <si>
    <t>â‚¬450.86</t>
  </si>
  <si>
    <t>Chris Wells</t>
  </si>
  <si>
    <t>Crystal Medina</t>
  </si>
  <si>
    <t>Rs132.38</t>
  </si>
  <si>
    <t>Danny Gray</t>
  </si>
  <si>
    <t>Patricia Carpenter</t>
  </si>
  <si>
    <t>â‚¬199.55</t>
  </si>
  <si>
    <t>Alicia Davis</t>
  </si>
  <si>
    <t>John Gonzalez</t>
  </si>
  <si>
    <t>â‚¬296.7</t>
  </si>
  <si>
    <t>Dr. John Hernandez</t>
  </si>
  <si>
    <t>Michelle Austin</t>
  </si>
  <si>
    <t>Andres Mills</t>
  </si>
  <si>
    <t>Paul Weaver</t>
  </si>
  <si>
    <t>Â£386.53</t>
  </si>
  <si>
    <t>Vanessa Allen</t>
  </si>
  <si>
    <t>Amy Chavez</t>
  </si>
  <si>
    <t>Rs243.94</t>
  </si>
  <si>
    <t>Virginia Flores</t>
  </si>
  <si>
    <t>Leonard Macias</t>
  </si>
  <si>
    <t>Mackenzie Walker</t>
  </si>
  <si>
    <t>Jenny Wright</t>
  </si>
  <si>
    <t>Kayla Berger</t>
  </si>
  <si>
    <t>Todd Oconnor</t>
  </si>
  <si>
    <t>Brian White</t>
  </si>
  <si>
    <t>Rachel Howell</t>
  </si>
  <si>
    <t>â‚¬387.58</t>
  </si>
  <si>
    <t>Dale Fisher</t>
  </si>
  <si>
    <t>Dr. Heidi Johnson</t>
  </si>
  <si>
    <t>Rs360.39</t>
  </si>
  <si>
    <t>Brian Griffith</t>
  </si>
  <si>
    <t>Robert Stanley</t>
  </si>
  <si>
    <t>Â£288.24</t>
  </si>
  <si>
    <t>Theresa Sanchez</t>
  </si>
  <si>
    <t>Amber Sullivan</t>
  </si>
  <si>
    <t>â‚¬286.43</t>
  </si>
  <si>
    <t>Kimberly Watson</t>
  </si>
  <si>
    <t>Joseph Meyers</t>
  </si>
  <si>
    <t>Christopher Miller</t>
  </si>
  <si>
    <t>Christine Arnold</t>
  </si>
  <si>
    <t>â‚¬476.26</t>
  </si>
  <si>
    <t>Brian Davis</t>
  </si>
  <si>
    <t>Michelle Smith</t>
  </si>
  <si>
    <t>Â£480.75</t>
  </si>
  <si>
    <t>Deborah Wagner</t>
  </si>
  <si>
    <t>Cesar Sanchez</t>
  </si>
  <si>
    <t>Rs277.6</t>
  </si>
  <si>
    <t>Christine Vega</t>
  </si>
  <si>
    <t>Jordan Cole</t>
  </si>
  <si>
    <t>Rs301.11</t>
  </si>
  <si>
    <t>Zachary Jones</t>
  </si>
  <si>
    <t>Alexander Lee</t>
  </si>
  <si>
    <t>Â£304.51</t>
  </si>
  <si>
    <t>Stephen Hicks</t>
  </si>
  <si>
    <t>Christopher Underwood</t>
  </si>
  <si>
    <t>Â£266.53</t>
  </si>
  <si>
    <t>Haley Taylor</t>
  </si>
  <si>
    <t>Christopher Wolfe</t>
  </si>
  <si>
    <t>Rs433.55</t>
  </si>
  <si>
    <t>Melissa Miranda</t>
  </si>
  <si>
    <t>Jennifer Jones</t>
  </si>
  <si>
    <t>Â£70.47</t>
  </si>
  <si>
    <t>Linda Nicholson</t>
  </si>
  <si>
    <t>Melissa Daniels</t>
  </si>
  <si>
    <t>Whitney Bradley</t>
  </si>
  <si>
    <t>Ryan White</t>
  </si>
  <si>
    <t>â‚¬111.71</t>
  </si>
  <si>
    <t>Carolyn Jacobson</t>
  </si>
  <si>
    <t>Katrina Johnston</t>
  </si>
  <si>
    <t>Â£365.37</t>
  </si>
  <si>
    <t>Jordan Hudson</t>
  </si>
  <si>
    <t>Linda Martin</t>
  </si>
  <si>
    <t>â‚¬475.27</t>
  </si>
  <si>
    <t>Joseph Banks</t>
  </si>
  <si>
    <t>Susan Kelley</t>
  </si>
  <si>
    <t>Brad West</t>
  </si>
  <si>
    <t>Samuel Stone</t>
  </si>
  <si>
    <t>Â£455.05</t>
  </si>
  <si>
    <t>Kelsey Johnson</t>
  </si>
  <si>
    <t>Mallory Torres</t>
  </si>
  <si>
    <t>Â£264.45</t>
  </si>
  <si>
    <t>Jared Parrish</t>
  </si>
  <si>
    <t>Wendy Herrera</t>
  </si>
  <si>
    <t>Rs132.57</t>
  </si>
  <si>
    <t>Megan Murphy</t>
  </si>
  <si>
    <t>Kevin Coleman</t>
  </si>
  <si>
    <t>Rs359.5</t>
  </si>
  <si>
    <t>Laura Lopez</t>
  </si>
  <si>
    <t>Julie Phillips</t>
  </si>
  <si>
    <t>Rs464.57</t>
  </si>
  <si>
    <t>Joshua Sanford</t>
  </si>
  <si>
    <t>Tara Montoya</t>
  </si>
  <si>
    <t>Mark Bowers</t>
  </si>
  <si>
    <t>Antonio Bryant</t>
  </si>
  <si>
    <t>Nicole West</t>
  </si>
  <si>
    <t>Marissa Jacobs</t>
  </si>
  <si>
    <t>â‚¬218.44</t>
  </si>
  <si>
    <t>Amy Wood</t>
  </si>
  <si>
    <t>John Shannon</t>
  </si>
  <si>
    <t>â‚¬255.67</t>
  </si>
  <si>
    <t>Robert Montoya</t>
  </si>
  <si>
    <t>Gregg Bennett</t>
  </si>
  <si>
    <t>Robert Torres</t>
  </si>
  <si>
    <t>Kyle Phillips</t>
  </si>
  <si>
    <t>Mason Morgan</t>
  </si>
  <si>
    <t>James Cobb</t>
  </si>
  <si>
    <t>Rs299.03</t>
  </si>
  <si>
    <t>Jeffrey Hart</t>
  </si>
  <si>
    <t>Jacob Townsend</t>
  </si>
  <si>
    <t>Rs459.66</t>
  </si>
  <si>
    <t>Jessica Pitts</t>
  </si>
  <si>
    <t>Miguel Hayes</t>
  </si>
  <si>
    <t>Â£403.61</t>
  </si>
  <si>
    <t>Amy King</t>
  </si>
  <si>
    <t>Peter Wells</t>
  </si>
  <si>
    <t>Â£241.48</t>
  </si>
  <si>
    <t>Lisa Fisher</t>
  </si>
  <si>
    <t>Karen Martin</t>
  </si>
  <si>
    <t>Donna Jenkins</t>
  </si>
  <si>
    <t>Rachel Allen</t>
  </si>
  <si>
    <t>Rs390.97</t>
  </si>
  <si>
    <t>Matthew Cox</t>
  </si>
  <si>
    <t>Alexander Horton</t>
  </si>
  <si>
    <t>Rs100.2</t>
  </si>
  <si>
    <t>Melissa Berry MD</t>
  </si>
  <si>
    <t>Kathryn Hooper</t>
  </si>
  <si>
    <t>Â£462.97</t>
  </si>
  <si>
    <t>Zachary Frazier</t>
  </si>
  <si>
    <t>Tamara Thompson</t>
  </si>
  <si>
    <t>Jose Bryant</t>
  </si>
  <si>
    <t>Ryan Lopez</t>
  </si>
  <si>
    <t>Â£350.41</t>
  </si>
  <si>
    <t>Thomas Smith</t>
  </si>
  <si>
    <t>Kenneth Turner</t>
  </si>
  <si>
    <t>Rs392.87</t>
  </si>
  <si>
    <t>Jason Harrington</t>
  </si>
  <si>
    <t>Stacey Miller</t>
  </si>
  <si>
    <t>Autumn Griffin</t>
  </si>
  <si>
    <t>Isabel Harris</t>
  </si>
  <si>
    <t>Adam Shelton</t>
  </si>
  <si>
    <t>Mary Thompson</t>
  </si>
  <si>
    <t>Amber Trevino</t>
  </si>
  <si>
    <t>Sarah Holder</t>
  </si>
  <si>
    <t>Jamie Aguilar</t>
  </si>
  <si>
    <t>Michael Duke</t>
  </si>
  <si>
    <t>â‚¬400.01</t>
  </si>
  <si>
    <t>Alyssa Lucas</t>
  </si>
  <si>
    <t>Daniel Ryan</t>
  </si>
  <si>
    <t>Theresa Young</t>
  </si>
  <si>
    <t>Brenda Booth</t>
  </si>
  <si>
    <t>Â£152.7</t>
  </si>
  <si>
    <t>Donna Clark</t>
  </si>
  <si>
    <t>Joanne Adams</t>
  </si>
  <si>
    <t>â‚¬154.68</t>
  </si>
  <si>
    <t>Michael White</t>
  </si>
  <si>
    <t>Seth Ramirez</t>
  </si>
  <si>
    <t>Jessica Johnson</t>
  </si>
  <si>
    <t>Kevin Weaver</t>
  </si>
  <si>
    <t>Â£166.59</t>
  </si>
  <si>
    <t>Victor Anderson MD</t>
  </si>
  <si>
    <t>Dr. William Terry</t>
  </si>
  <si>
    <t>Â£357.83</t>
  </si>
  <si>
    <t>Jodi Floyd</t>
  </si>
  <si>
    <t>Brett Arnold</t>
  </si>
  <si>
    <t>Rs458.11</t>
  </si>
  <si>
    <t>Bradley Leach</t>
  </si>
  <si>
    <t>Amanda Flores</t>
  </si>
  <si>
    <t>â‚¬85.07</t>
  </si>
  <si>
    <t>Stephen Butler</t>
  </si>
  <si>
    <t>Shannon Martinez</t>
  </si>
  <si>
    <t>Â£209.67</t>
  </si>
  <si>
    <t>Jennifer Martin</t>
  </si>
  <si>
    <t>Jeffery Smith</t>
  </si>
  <si>
    <t>Â£239.39</t>
  </si>
  <si>
    <t>Janet Gordon</t>
  </si>
  <si>
    <t>Rs398.73</t>
  </si>
  <si>
    <t>Susan Bautista</t>
  </si>
  <si>
    <t>Michael Schmidt</t>
  </si>
  <si>
    <t>â‚¬325.86</t>
  </si>
  <si>
    <t>Steve Ramirez</t>
  </si>
  <si>
    <t>Michelle Jones</t>
  </si>
  <si>
    <t>Kristine Logan</t>
  </si>
  <si>
    <t>Regina Cox</t>
  </si>
  <si>
    <t>Â£416.39</t>
  </si>
  <si>
    <t>Janet Lewis</t>
  </si>
  <si>
    <t>Gregory Neal</t>
  </si>
  <si>
    <t>â‚¬303.42</t>
  </si>
  <si>
    <t>Phillip Blevins</t>
  </si>
  <si>
    <t>Darryl Garcia</t>
  </si>
  <si>
    <t>Robert Mason</t>
  </si>
  <si>
    <t>Steven Mercer</t>
  </si>
  <si>
    <t>Rachel Nguyen</t>
  </si>
  <si>
    <t>John Wolf</t>
  </si>
  <si>
    <t>Rs416.85</t>
  </si>
  <si>
    <t>John Nguyen</t>
  </si>
  <si>
    <t>David Robertson</t>
  </si>
  <si>
    <t>Jennifer Stevens</t>
  </si>
  <si>
    <t>Joseph Park</t>
  </si>
  <si>
    <t>Â£231.18</t>
  </si>
  <si>
    <t>Matthew Davis</t>
  </si>
  <si>
    <t>Megan Lopez</t>
  </si>
  <si>
    <t>Rs119.4</t>
  </si>
  <si>
    <t>Ashley Daniels</t>
  </si>
  <si>
    <t>Robert Davies</t>
  </si>
  <si>
    <t>Dana Park</t>
  </si>
  <si>
    <t>Christopher Garrett</t>
  </si>
  <si>
    <t>Rs341.27</t>
  </si>
  <si>
    <t>Michael Short</t>
  </si>
  <si>
    <t>Charles Hess</t>
  </si>
  <si>
    <t>Anthony Mitchell</t>
  </si>
  <si>
    <t>Theresa Osborne</t>
  </si>
  <si>
    <t>â‚¬371.49</t>
  </si>
  <si>
    <t>Jamie Peck</t>
  </si>
  <si>
    <t>Lisa Garcia</t>
  </si>
  <si>
    <t>â‚¬406.43</t>
  </si>
  <si>
    <t>Kelsey Kelly</t>
  </si>
  <si>
    <t>Denise Hall</t>
  </si>
  <si>
    <t>â‚¬334.38</t>
  </si>
  <si>
    <t>Allison Mcgrath</t>
  </si>
  <si>
    <t>Morgan Mccoy</t>
  </si>
  <si>
    <t>Rs125.6</t>
  </si>
  <si>
    <t>Denise Anderson</t>
  </si>
  <si>
    <t>Timothy Beasley</t>
  </si>
  <si>
    <t>Â£377.85</t>
  </si>
  <si>
    <t>Louis Thomas</t>
  </si>
  <si>
    <t>Michelle Carter</t>
  </si>
  <si>
    <t>Â£450.24</t>
  </si>
  <si>
    <t>Sarah Taylor</t>
  </si>
  <si>
    <t>Christopher Sexton</t>
  </si>
  <si>
    <t>â‚¬382.81</t>
  </si>
  <si>
    <t>Dustin Perry</t>
  </si>
  <si>
    <t>Adam Moore</t>
  </si>
  <si>
    <t>Shawn Tucker</t>
  </si>
  <si>
    <t>Melissa Schmidt</t>
  </si>
  <si>
    <t>â‚¬258.38</t>
  </si>
  <si>
    <t>Rachel Russo</t>
  </si>
  <si>
    <t>Christine Wilson</t>
  </si>
  <si>
    <t>Rs366.15</t>
  </si>
  <si>
    <t>Dana Martinez</t>
  </si>
  <si>
    <t>Barry Bennett</t>
  </si>
  <si>
    <t>Rs466.92</t>
  </si>
  <si>
    <t>Shane Fowler</t>
  </si>
  <si>
    <t>Kimberly Douglas</t>
  </si>
  <si>
    <t>Â£114.67</t>
  </si>
  <si>
    <t>Kimberly Robinson</t>
  </si>
  <si>
    <t>Michael Wright</t>
  </si>
  <si>
    <t>Rs71.67</t>
  </si>
  <si>
    <t>Robert Rodriguez</t>
  </si>
  <si>
    <t>Stephanie Douglas</t>
  </si>
  <si>
    <t>Rs264.27</t>
  </si>
  <si>
    <t>Rita Joyce</t>
  </si>
  <si>
    <t>Diana Neal</t>
  </si>
  <si>
    <t>Rs92.45</t>
  </si>
  <si>
    <t>Kimberly Meyer</t>
  </si>
  <si>
    <t>Christopher Perez</t>
  </si>
  <si>
    <t>Rs441.33</t>
  </si>
  <si>
    <t>Kelly Morris</t>
  </si>
  <si>
    <t>Matthew Mccann</t>
  </si>
  <si>
    <t>Rs258.78</t>
  </si>
  <si>
    <t>Kevin Thompson</t>
  </si>
  <si>
    <t>Lynn Cruz</t>
  </si>
  <si>
    <t>Rs156.71</t>
  </si>
  <si>
    <t>April Braun</t>
  </si>
  <si>
    <t>Jacob Mendoza</t>
  </si>
  <si>
    <t>Rs110.47</t>
  </si>
  <si>
    <t>Alejandro Lopez</t>
  </si>
  <si>
    <t>Brian Bowman</t>
  </si>
  <si>
    <t>â‚¬361.32</t>
  </si>
  <si>
    <t>Scott Bishop</t>
  </si>
  <si>
    <t>Dylan Gibson</t>
  </si>
  <si>
    <t>â‚¬405.85</t>
  </si>
  <si>
    <t>Steven Baldwin</t>
  </si>
  <si>
    <t>Lori Reid</t>
  </si>
  <si>
    <t>Rs496.78</t>
  </si>
  <si>
    <t>Randy Austin</t>
  </si>
  <si>
    <t>Dr. Deborah Fitzgerald</t>
  </si>
  <si>
    <t>Anthony Martin</t>
  </si>
  <si>
    <t>Alex Richards</t>
  </si>
  <si>
    <t>Rs119.63</t>
  </si>
  <si>
    <t>Patricia Ramsey</t>
  </si>
  <si>
    <t>Jennifer Tanner</t>
  </si>
  <si>
    <t>Â£399.55</t>
  </si>
  <si>
    <t>Lauren Gardner</t>
  </si>
  <si>
    <t>Alison Castro</t>
  </si>
  <si>
    <t>Rs186.4</t>
  </si>
  <si>
    <t>Daniel Willis</t>
  </si>
  <si>
    <t>Megan Austin</t>
  </si>
  <si>
    <t>Rs234.99</t>
  </si>
  <si>
    <t>Shawn Moore</t>
  </si>
  <si>
    <t>Rebecca Ward</t>
  </si>
  <si>
    <t>Rs316.26</t>
  </si>
  <si>
    <t>Sherry Wilson</t>
  </si>
  <si>
    <t>Pamela Wiley</t>
  </si>
  <si>
    <t>Rs129.91</t>
  </si>
  <si>
    <t>Teresa Peters</t>
  </si>
  <si>
    <t>Tracey Johnson</t>
  </si>
  <si>
    <t>â‚¬468.01</t>
  </si>
  <si>
    <t>Nicole Evans</t>
  </si>
  <si>
    <t>Ashley Cuevas</t>
  </si>
  <si>
    <t>Rs459.41</t>
  </si>
  <si>
    <t>Brandon Sanders</t>
  </si>
  <si>
    <t>Amy Dunlap</t>
  </si>
  <si>
    <t>â‚¬370.25</t>
  </si>
  <si>
    <t>Samantha Wallace</t>
  </si>
  <si>
    <t>Charles Jackson</t>
  </si>
  <si>
    <t>Rs145.83</t>
  </si>
  <si>
    <t>Jared Butler</t>
  </si>
  <si>
    <t>Jason Morales</t>
  </si>
  <si>
    <t>Tracey Beck</t>
  </si>
  <si>
    <t>Logan Cooper</t>
  </si>
  <si>
    <t>Brianna Mcpherson</t>
  </si>
  <si>
    <t>Nathaniel Thompson</t>
  </si>
  <si>
    <t>Â£109.61</t>
  </si>
  <si>
    <t>Ray Mcbride</t>
  </si>
  <si>
    <t>Natalie Turner</t>
  </si>
  <si>
    <t>Tammy Thomas</t>
  </si>
  <si>
    <t>Kurt Cain</t>
  </si>
  <si>
    <t>Â£109.02</t>
  </si>
  <si>
    <t>Kelly Mason</t>
  </si>
  <si>
    <t>Laura Edwards</t>
  </si>
  <si>
    <t>Nicholas Kelly</t>
  </si>
  <si>
    <t>Paula Freeman</t>
  </si>
  <si>
    <t>Anne Jones DVM</t>
  </si>
  <si>
    <t>Linda French</t>
  </si>
  <si>
    <t>Andrea Mendez</t>
  </si>
  <si>
    <t>Joshua Reed</t>
  </si>
  <si>
    <t>Jennifer Schwartz</t>
  </si>
  <si>
    <t>Mrs. Michelle Ramsey</t>
  </si>
  <si>
    <t>â‚¬474.34</t>
  </si>
  <si>
    <t>Zachary Cross</t>
  </si>
  <si>
    <t>Toni Rodriguez</t>
  </si>
  <si>
    <t>Â£317.84</t>
  </si>
  <si>
    <t>Andrea Murray</t>
  </si>
  <si>
    <t>Alexa Martin</t>
  </si>
  <si>
    <t>Rs435.55</t>
  </si>
  <si>
    <t>Michele Green</t>
  </si>
  <si>
    <t>Rs88.58</t>
  </si>
  <si>
    <t>Summer Bishop</t>
  </si>
  <si>
    <t>Cynthia Green</t>
  </si>
  <si>
    <t>Daniel Braun</t>
  </si>
  <si>
    <t>Tonya Kennedy</t>
  </si>
  <si>
    <t>â‚¬252.38</t>
  </si>
  <si>
    <t>Kyle Jones</t>
  </si>
  <si>
    <t>Cheryl Mullins</t>
  </si>
  <si>
    <t>Erin Baker</t>
  </si>
  <si>
    <t>Carla King</t>
  </si>
  <si>
    <t>Rs239.5</t>
  </si>
  <si>
    <t>Cheryl Calderon</t>
  </si>
  <si>
    <t>Michael Adams</t>
  </si>
  <si>
    <t>Rs55.55</t>
  </si>
  <si>
    <t>Andrea Mcbride</t>
  </si>
  <si>
    <t>Laura Newman</t>
  </si>
  <si>
    <t>Â£112.28</t>
  </si>
  <si>
    <t>Danielle Barrett</t>
  </si>
  <si>
    <t>Gregory Griffin</t>
  </si>
  <si>
    <t>Rs386.16</t>
  </si>
  <si>
    <t>Madison Wilson</t>
  </si>
  <si>
    <t>Ryan Steele</t>
  </si>
  <si>
    <t>â‚¬230.73</t>
  </si>
  <si>
    <t>Thomas Crawford</t>
  </si>
  <si>
    <t>Ashley Shaw</t>
  </si>
  <si>
    <t>â‚¬296.85</t>
  </si>
  <si>
    <t>Sheila Thomas</t>
  </si>
  <si>
    <t>Catherine Gamble</t>
  </si>
  <si>
    <t>Â£64.79</t>
  </si>
  <si>
    <t>Daniel Long</t>
  </si>
  <si>
    <t>Jean Lawson DDS</t>
  </si>
  <si>
    <t>â‚¬101.1</t>
  </si>
  <si>
    <t>James Fox</t>
  </si>
  <si>
    <t>Victoria Osborne</t>
  </si>
  <si>
    <t>Rs204.86</t>
  </si>
  <si>
    <t>Evan Price</t>
  </si>
  <si>
    <t>Brooke Ramos</t>
  </si>
  <si>
    <t>Vanessa Graves</t>
  </si>
  <si>
    <t>Leslie Smith</t>
  </si>
  <si>
    <t>Rs474.33</t>
  </si>
  <si>
    <t>Barbara Drake</t>
  </si>
  <si>
    <t>Julie Jacobs</t>
  </si>
  <si>
    <t>â‚¬285.97</t>
  </si>
  <si>
    <t>Logan Gonzalez</t>
  </si>
  <si>
    <t>â‚¬209.27</t>
  </si>
  <si>
    <t>Brittney Gonzales</t>
  </si>
  <si>
    <t>Kimberly Caldwell</t>
  </si>
  <si>
    <t>Rs347.87</t>
  </si>
  <si>
    <t>Nichole Phillips</t>
  </si>
  <si>
    <t>Michael Jackson</t>
  </si>
  <si>
    <t>James Wise</t>
  </si>
  <si>
    <t>Karen Schmidt</t>
  </si>
  <si>
    <t>â‚¬98.07</t>
  </si>
  <si>
    <t>Logan Sampson</t>
  </si>
  <si>
    <t>Tiffany Melendez</t>
  </si>
  <si>
    <t>Rs154.03</t>
  </si>
  <si>
    <t>Tamara Ramirez MD</t>
  </si>
  <si>
    <t>Emily Mcintosh</t>
  </si>
  <si>
    <t>Â£126.87</t>
  </si>
  <si>
    <t>Sheryl Lopez</t>
  </si>
  <si>
    <t>Barbara Alvarado</t>
  </si>
  <si>
    <t>Shannon Ramos</t>
  </si>
  <si>
    <t>James Huber</t>
  </si>
  <si>
    <t>Daniel Vazquez</t>
  </si>
  <si>
    <t>Lisa Fry</t>
  </si>
  <si>
    <t>Â£194.82</t>
  </si>
  <si>
    <t>Kimberly Heath</t>
  </si>
  <si>
    <t>Amber Avila</t>
  </si>
  <si>
    <t>â‚¬145.75</t>
  </si>
  <si>
    <t>Tammy Yates</t>
  </si>
  <si>
    <t>Nancy Luna</t>
  </si>
  <si>
    <t>â‚¬58.55</t>
  </si>
  <si>
    <t>Alison Wolfe</t>
  </si>
  <si>
    <t>Michelle Thomas</t>
  </si>
  <si>
    <t>Natalie Miller</t>
  </si>
  <si>
    <t>Derrick Glass</t>
  </si>
  <si>
    <t>â‚¬56.37</t>
  </si>
  <si>
    <t>Kara Schneider</t>
  </si>
  <si>
    <t>Ivan Russo</t>
  </si>
  <si>
    <t>Â£456.26</t>
  </si>
  <si>
    <t>Kevin Jackson</t>
  </si>
  <si>
    <t>David Love</t>
  </si>
  <si>
    <t>Mary Werner</t>
  </si>
  <si>
    <t>Bonnie Walker</t>
  </si>
  <si>
    <t>Jennifer Barber</t>
  </si>
  <si>
    <t>Christopher Smith</t>
  </si>
  <si>
    <t>â‚¬56.63</t>
  </si>
  <si>
    <t>Emily Miller</t>
  </si>
  <si>
    <t>Nicole Bates</t>
  </si>
  <si>
    <t>Christine Lane</t>
  </si>
  <si>
    <t>Kimberly Long</t>
  </si>
  <si>
    <t>Â£208.8</t>
  </si>
  <si>
    <t>Gabriela Pope</t>
  </si>
  <si>
    <t>Melissa Brown</t>
  </si>
  <si>
    <t>Alexa Landry</t>
  </si>
  <si>
    <t>Larry Delgado</t>
  </si>
  <si>
    <t>Erica Thompson</t>
  </si>
  <si>
    <t>Jill Kelley</t>
  </si>
  <si>
    <t>Rs466.72</t>
  </si>
  <si>
    <t>James Noble</t>
  </si>
  <si>
    <t>Dylan George</t>
  </si>
  <si>
    <t>â‚¬213.67</t>
  </si>
  <si>
    <t>Sandra Russo</t>
  </si>
  <si>
    <t>Michael Alexander</t>
  </si>
  <si>
    <t>Robert Hampton</t>
  </si>
  <si>
    <t>Kevin Wilkinson</t>
  </si>
  <si>
    <t>Â£323.18</t>
  </si>
  <si>
    <t>Rachel Simmons</t>
  </si>
  <si>
    <t>Robert Sanchez</t>
  </si>
  <si>
    <t>Eduardo Martinez</t>
  </si>
  <si>
    <t>Craig Kelly</t>
  </si>
  <si>
    <t>Â£411.32</t>
  </si>
  <si>
    <t>Edward Taylor</t>
  </si>
  <si>
    <t>Yvette Johnson</t>
  </si>
  <si>
    <t>â‚¬388.8</t>
  </si>
  <si>
    <t>Ashley Martinez</t>
  </si>
  <si>
    <t>Spencer Torres</t>
  </si>
  <si>
    <t>Megan Edwards</t>
  </si>
  <si>
    <t>Eric Arellano</t>
  </si>
  <si>
    <t>â‚¬439.46</t>
  </si>
  <si>
    <t>Mr. Phillip Baxter</t>
  </si>
  <si>
    <t>Tricia Hunt</t>
  </si>
  <si>
    <t>Diana Schroeder</t>
  </si>
  <si>
    <t>Alexandra Lee</t>
  </si>
  <si>
    <t>Justin Chen</t>
  </si>
  <si>
    <t>Rs274.94</t>
  </si>
  <si>
    <t>Brian Garrett</t>
  </si>
  <si>
    <t>Tamara Williams</t>
  </si>
  <si>
    <t>Â£182.77</t>
  </si>
  <si>
    <t>Aaron Clay</t>
  </si>
  <si>
    <t>Timothy Barker</t>
  </si>
  <si>
    <t>â‚¬312.88</t>
  </si>
  <si>
    <t>Brian Bolton</t>
  </si>
  <si>
    <t>Natalie Patrick</t>
  </si>
  <si>
    <t>Â£163.58</t>
  </si>
  <si>
    <t>Karla Bush</t>
  </si>
  <si>
    <t>Victor Hernandez</t>
  </si>
  <si>
    <t>Rs135.85</t>
  </si>
  <si>
    <t>Michelle Edwards</t>
  </si>
  <si>
    <t>Charles Harvey</t>
  </si>
  <si>
    <t>Â£242.2</t>
  </si>
  <si>
    <t>Jack Sutton</t>
  </si>
  <si>
    <t>Paul Giles</t>
  </si>
  <si>
    <t>Joseph Hart</t>
  </si>
  <si>
    <t>Ralph Fernandez</t>
  </si>
  <si>
    <t>â‚¬326.58</t>
  </si>
  <si>
    <t>Rachel Carlson</t>
  </si>
  <si>
    <t>Paul Martinez</t>
  </si>
  <si>
    <t>Miss Stacey Weaver</t>
  </si>
  <si>
    <t>Rachel Wilson</t>
  </si>
  <si>
    <t>Rs442.41</t>
  </si>
  <si>
    <t>Steven Giles</t>
  </si>
  <si>
    <t>Kevin Vaughan</t>
  </si>
  <si>
    <t>â‚¬358.98</t>
  </si>
  <si>
    <t>Trevor Taylor</t>
  </si>
  <si>
    <t>William Schneider</t>
  </si>
  <si>
    <t>Â£235.74</t>
  </si>
  <si>
    <t>Erica Robbins</t>
  </si>
  <si>
    <t>Matthew Carlson</t>
  </si>
  <si>
    <t>Alexander Rios</t>
  </si>
  <si>
    <t>Bryan Parker</t>
  </si>
  <si>
    <t>â‚¬305.19</t>
  </si>
  <si>
    <t>Jennifer Reese</t>
  </si>
  <si>
    <t>James Aguilar</t>
  </si>
  <si>
    <t>Â£357.15</t>
  </si>
  <si>
    <t>Daniel Valenzuela</t>
  </si>
  <si>
    <t>Karen Brewer</t>
  </si>
  <si>
    <t>Alexander Jones</t>
  </si>
  <si>
    <t>Mary Ward</t>
  </si>
  <si>
    <t>Rs498.26</t>
  </si>
  <si>
    <t>Robert Myers DDS</t>
  </si>
  <si>
    <t>Luis Smith</t>
  </si>
  <si>
    <t>Rs499.72</t>
  </si>
  <si>
    <t>Jennifer Sims</t>
  </si>
  <si>
    <t>Janet Coffey</t>
  </si>
  <si>
    <t>â‚¬315.71</t>
  </si>
  <si>
    <t>Jenna Williams</t>
  </si>
  <si>
    <t>Ryan Mitchell</t>
  </si>
  <si>
    <t>Jamie Nixon</t>
  </si>
  <si>
    <t>Scott Allen</t>
  </si>
  <si>
    <t>Maria Harris</t>
  </si>
  <si>
    <t>Henry Hall</t>
  </si>
  <si>
    <t>Â£372.5</t>
  </si>
  <si>
    <t>Angela Davis</t>
  </si>
  <si>
    <t>Danielle Meyer</t>
  </si>
  <si>
    <t>Â£60.76</t>
  </si>
  <si>
    <t>Alex Burns</t>
  </si>
  <si>
    <t>Raymond Bond</t>
  </si>
  <si>
    <t>â‚¬290.52</t>
  </si>
  <si>
    <t>Thomas Banks</t>
  </si>
  <si>
    <t>George Stevens</t>
  </si>
  <si>
    <t>Rs451.66</t>
  </si>
  <si>
    <t>Courtney Everett</t>
  </si>
  <si>
    <t>Ryan Chavez</t>
  </si>
  <si>
    <t>Â£260.91</t>
  </si>
  <si>
    <t>Lori Montgomery</t>
  </si>
  <si>
    <t>Christy Fisher</t>
  </si>
  <si>
    <t>Sarah Fuller</t>
  </si>
  <si>
    <t>Cody Ortega</t>
  </si>
  <si>
    <t>Rs460.11</t>
  </si>
  <si>
    <t>Julia Mckenzie</t>
  </si>
  <si>
    <t>Sarah Scott</t>
  </si>
  <si>
    <t>â‚¬91.94</t>
  </si>
  <si>
    <t>Eric Kim</t>
  </si>
  <si>
    <t>Arthur Harris</t>
  </si>
  <si>
    <t>Anne Jacobs</t>
  </si>
  <si>
    <t>Lauren Clark</t>
  </si>
  <si>
    <t>Â£347.38</t>
  </si>
  <si>
    <t>Brandy Navarro</t>
  </si>
  <si>
    <t>Matthew Nichols</t>
  </si>
  <si>
    <t>Rs288.43</t>
  </si>
  <si>
    <t>Jennifer Lowery</t>
  </si>
  <si>
    <t>Tracy Johnson</t>
  </si>
  <si>
    <t>â‚¬222.2</t>
  </si>
  <si>
    <t>Thomas Nash</t>
  </si>
  <si>
    <t>Justin Flores</t>
  </si>
  <si>
    <t>Rs180.6</t>
  </si>
  <si>
    <t>Yolanda Thomas</t>
  </si>
  <si>
    <t>Keith Lee</t>
  </si>
  <si>
    <t>Victor Simmons</t>
  </si>
  <si>
    <t>Christopher Nelson</t>
  </si>
  <si>
    <t>â‚¬485.31</t>
  </si>
  <si>
    <t>Edward Holland</t>
  </si>
  <si>
    <t>Joe Rodriguez</t>
  </si>
  <si>
    <t>Â£255.9</t>
  </si>
  <si>
    <t>Mary Foster</t>
  </si>
  <si>
    <t>Terry Welch</t>
  </si>
  <si>
    <t>â‚¬443.13</t>
  </si>
  <si>
    <t>Michael Sullivan</t>
  </si>
  <si>
    <t>Angela Thomas</t>
  </si>
  <si>
    <t>Rs318.88</t>
  </si>
  <si>
    <t>Brandon Garcia</t>
  </si>
  <si>
    <t>Melissa Ramirez</t>
  </si>
  <si>
    <t>Amber Clayton</t>
  </si>
  <si>
    <t>Â£167.18</t>
  </si>
  <si>
    <t>Rachel Baker</t>
  </si>
  <si>
    <t>Maria Gentry</t>
  </si>
  <si>
    <t>Â£444.67</t>
  </si>
  <si>
    <t>Penny West</t>
  </si>
  <si>
    <t>Heather Ortiz</t>
  </si>
  <si>
    <t>Michelle Mcclain</t>
  </si>
  <si>
    <t>Mrs. Amy Miller</t>
  </si>
  <si>
    <t>Rs185.29</t>
  </si>
  <si>
    <t>Jennifer Davis</t>
  </si>
  <si>
    <t>Michael Bryant</t>
  </si>
  <si>
    <t>Kimberly Lee</t>
  </si>
  <si>
    <t>Vanessa Ramirez</t>
  </si>
  <si>
    <t>Â£438.81</t>
  </si>
  <si>
    <t>Paul Perez</t>
  </si>
  <si>
    <t>Nancy Young</t>
  </si>
  <si>
    <t>â‚¬231.7</t>
  </si>
  <si>
    <t>Tyler Smith</t>
  </si>
  <si>
    <t>Melinda Smith</t>
  </si>
  <si>
    <t>Anthony Boyd</t>
  </si>
  <si>
    <t>Bradley Gibson</t>
  </si>
  <si>
    <t>Â£173.85</t>
  </si>
  <si>
    <t>Henry Snyder</t>
  </si>
  <si>
    <t>Theresa Simon</t>
  </si>
  <si>
    <t>Sabrina Wade</t>
  </si>
  <si>
    <t>Randy Vargas</t>
  </si>
  <si>
    <t>Rs202.92</t>
  </si>
  <si>
    <t>Cody Scott</t>
  </si>
  <si>
    <t>Larry Cohen</t>
  </si>
  <si>
    <t>â‚¬383.47</t>
  </si>
  <si>
    <t>David Mcdonald</t>
  </si>
  <si>
    <t>Donald Garcia</t>
  </si>
  <si>
    <t>Â£302.66</t>
  </si>
  <si>
    <t>Sherri Guzman</t>
  </si>
  <si>
    <t>Carlos Morton</t>
  </si>
  <si>
    <t>Â£472.57</t>
  </si>
  <si>
    <t>Mr. Brian Anderson</t>
  </si>
  <si>
    <t>Adrienne Roberts</t>
  </si>
  <si>
    <t>â‚¬417.21</t>
  </si>
  <si>
    <t>Kayla Mccormick</t>
  </si>
  <si>
    <t>Robert Burton</t>
  </si>
  <si>
    <t>Mark Reeves</t>
  </si>
  <si>
    <t>Mark Hill</t>
  </si>
  <si>
    <t>Debra Short</t>
  </si>
  <si>
    <t>Karla Baker</t>
  </si>
  <si>
    <t>â‚¬386.37</t>
  </si>
  <si>
    <t>Melissa Richmond</t>
  </si>
  <si>
    <t>Jasmin Holmes</t>
  </si>
  <si>
    <t>Linda Murphy</t>
  </si>
  <si>
    <t>Margaret Montoya</t>
  </si>
  <si>
    <t>Rs176.68</t>
  </si>
  <si>
    <t>Michael Gonzales</t>
  </si>
  <si>
    <t>Richard Torres</t>
  </si>
  <si>
    <t>Rs491.64</t>
  </si>
  <si>
    <t>Samantha Garner</t>
  </si>
  <si>
    <t>Jacob Hobbs</t>
  </si>
  <si>
    <t>David Reeves</t>
  </si>
  <si>
    <t>Marc Copeland</t>
  </si>
  <si>
    <t>Tamara Smith</t>
  </si>
  <si>
    <t>William Conley</t>
  </si>
  <si>
    <t>Thomas Wallace</t>
  </si>
  <si>
    <t>Rs88.29</t>
  </si>
  <si>
    <t>Kelly Ayers</t>
  </si>
  <si>
    <t>Justin Taylor</t>
  </si>
  <si>
    <t>James Perry</t>
  </si>
  <si>
    <t>Leonard Campbell</t>
  </si>
  <si>
    <t>Steven Phelps</t>
  </si>
  <si>
    <t>Darren Williams</t>
  </si>
  <si>
    <t>Rs350.5</t>
  </si>
  <si>
    <t>Mark Daniels</t>
  </si>
  <si>
    <t>Kimberly Pierce</t>
  </si>
  <si>
    <t>Zachary Williams</t>
  </si>
  <si>
    <t>Selena Brown</t>
  </si>
  <si>
    <t>Â£458.83</t>
  </si>
  <si>
    <t>Carly Ford</t>
  </si>
  <si>
    <t>Scott Tran</t>
  </si>
  <si>
    <t>â‚¬138.29</t>
  </si>
  <si>
    <t>Elaine Williams</t>
  </si>
  <si>
    <t>Daniel Carlson</t>
  </si>
  <si>
    <t>Rs189.02</t>
  </si>
  <si>
    <t>Randy Wright</t>
  </si>
  <si>
    <t>Jennifer Banks</t>
  </si>
  <si>
    <t>â‚¬272.47</t>
  </si>
  <si>
    <t>Charles Foley</t>
  </si>
  <si>
    <t>Richard Arias</t>
  </si>
  <si>
    <t>â‚¬450.37</t>
  </si>
  <si>
    <t>Ryan Kennedy</t>
  </si>
  <si>
    <t>Scott Shannon</t>
  </si>
  <si>
    <t>Stephen Cox</t>
  </si>
  <si>
    <t>Joseph King</t>
  </si>
  <si>
    <t>Â£99.17</t>
  </si>
  <si>
    <t>Jennifer Jackson</t>
  </si>
  <si>
    <t>Frank Harrell</t>
  </si>
  <si>
    <t>Jessica Wilson</t>
  </si>
  <si>
    <t>Sharon Nash</t>
  </si>
  <si>
    <t>â‚¬437.18</t>
  </si>
  <si>
    <t>Brittany Wall</t>
  </si>
  <si>
    <t>Willie Dean</t>
  </si>
  <si>
    <t>Rs77.2</t>
  </si>
  <si>
    <t>Diane Adams</t>
  </si>
  <si>
    <t>Andrew Carroll</t>
  </si>
  <si>
    <t>â‚¬118.72</t>
  </si>
  <si>
    <t>Shawn Moon</t>
  </si>
  <si>
    <t>Sheila Williams</t>
  </si>
  <si>
    <t>â‚¬155.69</t>
  </si>
  <si>
    <t>Sharon Lopez</t>
  </si>
  <si>
    <t>Yolanda Richardson</t>
  </si>
  <si>
    <t>Timothy Ramirez</t>
  </si>
  <si>
    <t>Tiffany Shepherd</t>
  </si>
  <si>
    <t>Rs412.44</t>
  </si>
  <si>
    <t>Daniel Marshall</t>
  </si>
  <si>
    <t>Lisa Taylor</t>
  </si>
  <si>
    <t>Â£297.5</t>
  </si>
  <si>
    <t>Andre Pitts</t>
  </si>
  <si>
    <t>Donna Sandoval</t>
  </si>
  <si>
    <t>â‚¬481.4</t>
  </si>
  <si>
    <t>Mary Garcia</t>
  </si>
  <si>
    <t>Brianna Ortega</t>
  </si>
  <si>
    <t>Lawrence Ford</t>
  </si>
  <si>
    <t>Randall Watts</t>
  </si>
  <si>
    <t>â‚¬167.8</t>
  </si>
  <si>
    <t>Monica Mcclure</t>
  </si>
  <si>
    <t>Martha Byrd</t>
  </si>
  <si>
    <t>Rs347.94</t>
  </si>
  <si>
    <t>Troy Richards</t>
  </si>
  <si>
    <t>Thomas Baker</t>
  </si>
  <si>
    <t>Â£305.02</t>
  </si>
  <si>
    <t>Anna Rowe</t>
  </si>
  <si>
    <t>Judith Preston</t>
  </si>
  <si>
    <t>â‚¬83.61</t>
  </si>
  <si>
    <t>Michael Espinoza</t>
  </si>
  <si>
    <t>Amber King</t>
  </si>
  <si>
    <t>Â£360.39</t>
  </si>
  <si>
    <t>Kenneth Dixon</t>
  </si>
  <si>
    <t>Sandra Sloan</t>
  </si>
  <si>
    <t>â‚¬402.4</t>
  </si>
  <si>
    <t>Justin Ortiz</t>
  </si>
  <si>
    <t>Russell Myers</t>
  </si>
  <si>
    <t>Â£234.26</t>
  </si>
  <si>
    <t>Melissa Wagner</t>
  </si>
  <si>
    <t>Megan Garcia</t>
  </si>
  <si>
    <t>Rs219.5</t>
  </si>
  <si>
    <t>Jamie Miller</t>
  </si>
  <si>
    <t>Gloria Perez</t>
  </si>
  <si>
    <t>â‚¬191.19</t>
  </si>
  <si>
    <t>Cynthia Jones</t>
  </si>
  <si>
    <t>Eugene Little</t>
  </si>
  <si>
    <t>Rs318.15</t>
  </si>
  <si>
    <t>Henry Quinn</t>
  </si>
  <si>
    <t>Audrey Hansen</t>
  </si>
  <si>
    <t>Jake Robinson</t>
  </si>
  <si>
    <t>Nathan Quinn</t>
  </si>
  <si>
    <t>Rs178.28</t>
  </si>
  <si>
    <t>Kimberly Morrison</t>
  </si>
  <si>
    <t>Brian Young</t>
  </si>
  <si>
    <t>Ricardo White</t>
  </si>
  <si>
    <t>Tanya Barker</t>
  </si>
  <si>
    <t>Rs352.72</t>
  </si>
  <si>
    <t>Cynthia Richard</t>
  </si>
  <si>
    <t>Scott King</t>
  </si>
  <si>
    <t>â‚¬208.03</t>
  </si>
  <si>
    <t>David Thompson</t>
  </si>
  <si>
    <t>Derek Velazquez</t>
  </si>
  <si>
    <t>Â£116.75</t>
  </si>
  <si>
    <t>Mary Moon</t>
  </si>
  <si>
    <t>Ernest Rodriguez</t>
  </si>
  <si>
    <t>â‚¬91.29</t>
  </si>
  <si>
    <t>John Gallagher</t>
  </si>
  <si>
    <t>Kara Austin</t>
  </si>
  <si>
    <t>â‚¬198.61</t>
  </si>
  <si>
    <t>Benjamin Allen</t>
  </si>
  <si>
    <t>Richard Johnson</t>
  </si>
  <si>
    <t>â‚¬257.17</t>
  </si>
  <si>
    <t>Abigail Holt</t>
  </si>
  <si>
    <t>Jacob Mays</t>
  </si>
  <si>
    <t>Katherine Rogers</t>
  </si>
  <si>
    <t>Morgan Edwards</t>
  </si>
  <si>
    <t>Jason Larson</t>
  </si>
  <si>
    <t>Helen Davis</t>
  </si>
  <si>
    <t>Â£241.91</t>
  </si>
  <si>
    <t>Jesse Robertson</t>
  </si>
  <si>
    <t>Rebecca Gross</t>
  </si>
  <si>
    <t>â‚¬95.25</t>
  </si>
  <si>
    <t>Tyler Trujillo</t>
  </si>
  <si>
    <t>Andrea Walsh</t>
  </si>
  <si>
    <t>Â£167.07</t>
  </si>
  <si>
    <t>Travis Rodriguez</t>
  </si>
  <si>
    <t>â‚¬426.64</t>
  </si>
  <si>
    <t>Darren Alvarado</t>
  </si>
  <si>
    <t>Spencer Booth</t>
  </si>
  <si>
    <t>â‚¬106.8</t>
  </si>
  <si>
    <t>Troy Marshall</t>
  </si>
  <si>
    <t>Benjamin Robinson</t>
  </si>
  <si>
    <t>Corey Turner</t>
  </si>
  <si>
    <t>Heidi Baker</t>
  </si>
  <si>
    <t>Rs435.1</t>
  </si>
  <si>
    <t>Ashley Wright</t>
  </si>
  <si>
    <t>Kristen Lopez</t>
  </si>
  <si>
    <t>â‚¬403.22</t>
  </si>
  <si>
    <t>Jose Bauer</t>
  </si>
  <si>
    <t>Reginald Barrett</t>
  </si>
  <si>
    <t>â‚¬390.81</t>
  </si>
  <si>
    <t>Jared Lester</t>
  </si>
  <si>
    <t>David Espinoza</t>
  </si>
  <si>
    <t>Â£310.42</t>
  </si>
  <si>
    <t>Jeffrey Martinez</t>
  </si>
  <si>
    <t>Michael Ross</t>
  </si>
  <si>
    <t>Christopher Massey</t>
  </si>
  <si>
    <t>William Moore</t>
  </si>
  <si>
    <t>â‚¬495.94</t>
  </si>
  <si>
    <t>Erin Small</t>
  </si>
  <si>
    <t>Jeff Lane</t>
  </si>
  <si>
    <t>â‚¬403.87</t>
  </si>
  <si>
    <t>Pamela Dalton</t>
  </si>
  <si>
    <t>Christopher Jones</t>
  </si>
  <si>
    <t>Rs466.56</t>
  </si>
  <si>
    <t>Rebecca Parrish</t>
  </si>
  <si>
    <t>Jordan Shelton</t>
  </si>
  <si>
    <t>Dominic Bell</t>
  </si>
  <si>
    <t>April Castillo</t>
  </si>
  <si>
    <t>Rs356.13</t>
  </si>
  <si>
    <t>Gregory Arellano</t>
  </si>
  <si>
    <t>Natalie Smith</t>
  </si>
  <si>
    <t>Laura Chan</t>
  </si>
  <si>
    <t>Reginald Miller</t>
  </si>
  <si>
    <t>Michael Watkins</t>
  </si>
  <si>
    <t>Brian Deleon</t>
  </si>
  <si>
    <t>Â£313.04</t>
  </si>
  <si>
    <t>Daniel Garrett</t>
  </si>
  <si>
    <t>Francisco Steele</t>
  </si>
  <si>
    <t>Â£424.5</t>
  </si>
  <si>
    <t>Ronald Gonzalez</t>
  </si>
  <si>
    <t>Crystal Mueller</t>
  </si>
  <si>
    <t>Rs222.37</t>
  </si>
  <si>
    <t>Charles Green</t>
  </si>
  <si>
    <t>Lisa Hoffman</t>
  </si>
  <si>
    <t>â‚¬349.49</t>
  </si>
  <si>
    <t>Allison Ramos</t>
  </si>
  <si>
    <t>Chase Ford</t>
  </si>
  <si>
    <t>Christopher Brown</t>
  </si>
  <si>
    <t>Henry Moore</t>
  </si>
  <si>
    <t>Rs92.08</t>
  </si>
  <si>
    <t>Barbara Holland</t>
  </si>
  <si>
    <t>Chelsea Aguirre</t>
  </si>
  <si>
    <t>â‚¬439.56</t>
  </si>
  <si>
    <t>Matthew Herrera</t>
  </si>
  <si>
    <t>Cody Murray</t>
  </si>
  <si>
    <t>Rs473.48</t>
  </si>
  <si>
    <t>Valerie Vaughn</t>
  </si>
  <si>
    <t>Felicia Warner</t>
  </si>
  <si>
    <t>Tiffany Miller</t>
  </si>
  <si>
    <t>Melissa Bradley</t>
  </si>
  <si>
    <t>â‚¬151.02</t>
  </si>
  <si>
    <t>Cassandra Cain</t>
  </si>
  <si>
    <t>Jessica Williams</t>
  </si>
  <si>
    <t>Rs79.59</t>
  </si>
  <si>
    <t>Glen Arroyo</t>
  </si>
  <si>
    <t>Christopher Schneider</t>
  </si>
  <si>
    <t>Â£167.31</t>
  </si>
  <si>
    <t>Kimberly Hill</t>
  </si>
  <si>
    <t>Kenneth Long</t>
  </si>
  <si>
    <t>Rs194.81</t>
  </si>
  <si>
    <t>Erik Martinez</t>
  </si>
  <si>
    <t>Jennifer Carroll</t>
  </si>
  <si>
    <t>Michael Bradley</t>
  </si>
  <si>
    <t>Carl Gomez</t>
  </si>
  <si>
    <t>Â£254.91</t>
  </si>
  <si>
    <t>Rebecca Carey DDS</t>
  </si>
  <si>
    <t>David Carter</t>
  </si>
  <si>
    <t>Tammy Nelson</t>
  </si>
  <si>
    <t>Angel Aguilar</t>
  </si>
  <si>
    <t>Heidi Alvarez</t>
  </si>
  <si>
    <t>Jeremy Wilson</t>
  </si>
  <si>
    <t>Rs94.19</t>
  </si>
  <si>
    <t>Robert Edwards</t>
  </si>
  <si>
    <t>Ashley Gonzalez</t>
  </si>
  <si>
    <t>Â£84.87</t>
  </si>
  <si>
    <t>Bryan Fritz</t>
  </si>
  <si>
    <t>Kelsey Hernandez</t>
  </si>
  <si>
    <t>Donald Reed</t>
  </si>
  <si>
    <t>Danny Webster</t>
  </si>
  <si>
    <t>Alejandra Perkins</t>
  </si>
  <si>
    <t>Daniel Dickerson</t>
  </si>
  <si>
    <t>Jonathan Drake</t>
  </si>
  <si>
    <t>Andrew Johnson</t>
  </si>
  <si>
    <t>Â£328.88</t>
  </si>
  <si>
    <t>Sandra Wood</t>
  </si>
  <si>
    <t>Brian Armstrong</t>
  </si>
  <si>
    <t>Â£51.93</t>
  </si>
  <si>
    <t>Alexis Moody</t>
  </si>
  <si>
    <t>Jennifer Reyes</t>
  </si>
  <si>
    <t>Rs201.8</t>
  </si>
  <si>
    <t>Carol Williams</t>
  </si>
  <si>
    <t>Joshua Gomez</t>
  </si>
  <si>
    <t>Kimberly Adkins</t>
  </si>
  <si>
    <t>Tamara Rivera</t>
  </si>
  <si>
    <t>Tracie Jefferson</t>
  </si>
  <si>
    <t>Margaret Robinson</t>
  </si>
  <si>
    <t>Aaron Young</t>
  </si>
  <si>
    <t>Wendy Cochran</t>
  </si>
  <si>
    <t>Rs222.33</t>
  </si>
  <si>
    <t>Terry Dennis</t>
  </si>
  <si>
    <t>Kelsey Scott</t>
  </si>
  <si>
    <t>Rs403.78</t>
  </si>
  <si>
    <t>Michael Newman MD</t>
  </si>
  <si>
    <t>Ronald Santos</t>
  </si>
  <si>
    <t>Kristin Terry</t>
  </si>
  <si>
    <t>Michael Brown</t>
  </si>
  <si>
    <t>Â£67.97</t>
  </si>
  <si>
    <t>Nicole Green</t>
  </si>
  <si>
    <t>Charles Owens</t>
  </si>
  <si>
    <t>Rs365.21</t>
  </si>
  <si>
    <t>Tina Cook</t>
  </si>
  <si>
    <t>Paul Allen</t>
  </si>
  <si>
    <t>Â£269.53</t>
  </si>
  <si>
    <t>Robin Donovan</t>
  </si>
  <si>
    <t>Brian Brown</t>
  </si>
  <si>
    <t>Bryan Meyers</t>
  </si>
  <si>
    <t>Michael Trevino</t>
  </si>
  <si>
    <t>Rs499.36</t>
  </si>
  <si>
    <t>Deanna Manning</t>
  </si>
  <si>
    <t>Austin Stout</t>
  </si>
  <si>
    <t>Rs101.37</t>
  </si>
  <si>
    <t>Linda Miller</t>
  </si>
  <si>
    <t>Patricia White</t>
  </si>
  <si>
    <t>Kathryn Bell</t>
  </si>
  <si>
    <t>Andre Carter</t>
  </si>
  <si>
    <t>Â£442.72</t>
  </si>
  <si>
    <t>Patrick Ewing</t>
  </si>
  <si>
    <t>Alexander Jackson</t>
  </si>
  <si>
    <t>Â£224.89</t>
  </si>
  <si>
    <t>Steven Henderson</t>
  </si>
  <si>
    <t>Nicole Martinez</t>
  </si>
  <si>
    <t>Rs163.4</t>
  </si>
  <si>
    <t>Michael Marquez</t>
  </si>
  <si>
    <t>Mr. Curtis Ortiz</t>
  </si>
  <si>
    <t>â‚¬202.98</t>
  </si>
  <si>
    <t>Brittany Thompson</t>
  </si>
  <si>
    <t>Wendy Davis</t>
  </si>
  <si>
    <t>Rs257.1</t>
  </si>
  <si>
    <t>Tracy Perez</t>
  </si>
  <si>
    <t>Lauren Rosario</t>
  </si>
  <si>
    <t>â‚¬466.87</t>
  </si>
  <si>
    <t>Morgan Torres</t>
  </si>
  <si>
    <t>April Lyons</t>
  </si>
  <si>
    <t>Jessica Price</t>
  </si>
  <si>
    <t>Justin Rice</t>
  </si>
  <si>
    <t>â‚¬490.78</t>
  </si>
  <si>
    <t>Kayla Williams</t>
  </si>
  <si>
    <t>Aaron Cooper</t>
  </si>
  <si>
    <t>Rs217.86</t>
  </si>
  <si>
    <t>Victoria Young</t>
  </si>
  <si>
    <t>Lauren Whitaker</t>
  </si>
  <si>
    <t>Roger Hatfield</t>
  </si>
  <si>
    <t>Victoria Lopez</t>
  </si>
  <si>
    <t>â‚¬196.21</t>
  </si>
  <si>
    <t>Robert Lewis</t>
  </si>
  <si>
    <t>Samantha Cameron</t>
  </si>
  <si>
    <t>Rs490.08</t>
  </si>
  <si>
    <t>Jeremiah Perez</t>
  </si>
  <si>
    <t>Michael Black</t>
  </si>
  <si>
    <t>Haley Mcintosh</t>
  </si>
  <si>
    <t>Amanda Boyd</t>
  </si>
  <si>
    <t>â‚¬484.82</t>
  </si>
  <si>
    <t>Kathy Rhodes</t>
  </si>
  <si>
    <t>Rachel Bright</t>
  </si>
  <si>
    <t>Louis Craig</t>
  </si>
  <si>
    <t>Rachel Wood</t>
  </si>
  <si>
    <t>Rs484.93</t>
  </si>
  <si>
    <t>Jenny Black</t>
  </si>
  <si>
    <t>Jamie Nunez</t>
  </si>
  <si>
    <t>Sarah Davis</t>
  </si>
  <si>
    <t>Rebecca Thompson</t>
  </si>
  <si>
    <t>Rs402.6</t>
  </si>
  <si>
    <t>Heidi Sosa</t>
  </si>
  <si>
    <t>Nancy Wilson</t>
  </si>
  <si>
    <t>Rs241.81</t>
  </si>
  <si>
    <t>Dalton Rodriguez</t>
  </si>
  <si>
    <t>Erica Sanchez</t>
  </si>
  <si>
    <t>Rs467.2</t>
  </si>
  <si>
    <t>Jacqueline West</t>
  </si>
  <si>
    <t>Steven Walker</t>
  </si>
  <si>
    <t>Â£148.74</t>
  </si>
  <si>
    <t>Sherri Barry</t>
  </si>
  <si>
    <t>Janet Schultz</t>
  </si>
  <si>
    <t>Â£109.72</t>
  </si>
  <si>
    <t>Lydia Russell</t>
  </si>
  <si>
    <t>Matthew Clark</t>
  </si>
  <si>
    <t>Â£477.53</t>
  </si>
  <si>
    <t>Alexander Hammond</t>
  </si>
  <si>
    <t>Tara Moore</t>
  </si>
  <si>
    <t>â‚¬286.71</t>
  </si>
  <si>
    <t>Nichole Anderson</t>
  </si>
  <si>
    <t>Richard Vega</t>
  </si>
  <si>
    <t>Â£316.89</t>
  </si>
  <si>
    <t>Jacqueline Peters</t>
  </si>
  <si>
    <t>Adam Jensen</t>
  </si>
  <si>
    <t>â‚¬266.74</t>
  </si>
  <si>
    <t>Kelly Hodge</t>
  </si>
  <si>
    <t>Terry Jones</t>
  </si>
  <si>
    <t>Â£175.09</t>
  </si>
  <si>
    <t>Brandi Boyd</t>
  </si>
  <si>
    <t>Mary Jacobson</t>
  </si>
  <si>
    <t>Rs96.2</t>
  </si>
  <si>
    <t>David Jones</t>
  </si>
  <si>
    <t>Dakota Fleming</t>
  </si>
  <si>
    <t>Rs443.12</t>
  </si>
  <si>
    <t>Zachary Lewis</t>
  </si>
  <si>
    <t>Gary Washington</t>
  </si>
  <si>
    <t>Andrea Anderson</t>
  </si>
  <si>
    <t>Mary Burgess</t>
  </si>
  <si>
    <t>Shawn Castillo</t>
  </si>
  <si>
    <t>Â£339.57</t>
  </si>
  <si>
    <t>Jerry Holmes</t>
  </si>
  <si>
    <t>Kim Daniels</t>
  </si>
  <si>
    <t>Rs344.57</t>
  </si>
  <si>
    <t>Kimberly Diaz</t>
  </si>
  <si>
    <t>David Guzman</t>
  </si>
  <si>
    <t>Katherine Olson</t>
  </si>
  <si>
    <t>Larry Roberts</t>
  </si>
  <si>
    <t>Â£202.68</t>
  </si>
  <si>
    <t>Nathaniel White</t>
  </si>
  <si>
    <t>Andrew Clark</t>
  </si>
  <si>
    <t>Robert Garcia</t>
  </si>
  <si>
    <t>Eric Lewis</t>
  </si>
  <si>
    <t>â‚¬245.84</t>
  </si>
  <si>
    <t>Richard Medina</t>
  </si>
  <si>
    <t>â‚¬284.66</t>
  </si>
  <si>
    <t>Peter Pierce</t>
  </si>
  <si>
    <t>Deborah Snyder</t>
  </si>
  <si>
    <t>Rs389.49</t>
  </si>
  <si>
    <t>Elizabeth Russo</t>
  </si>
  <si>
    <t>Connie Martinez</t>
  </si>
  <si>
    <t>Jacqueline Collins</t>
  </si>
  <si>
    <t>Paul Parker</t>
  </si>
  <si>
    <t>Mckenzie Mccarty</t>
  </si>
  <si>
    <t>Larry Smith</t>
  </si>
  <si>
    <t>Â£68.36</t>
  </si>
  <si>
    <t>Samuel Thomas</t>
  </si>
  <si>
    <t>Donna Johnson</t>
  </si>
  <si>
    <t>Â£332.15</t>
  </si>
  <si>
    <t>Robert Williams</t>
  </si>
  <si>
    <t>Jessica Chandler</t>
  </si>
  <si>
    <t>Â£294.14</t>
  </si>
  <si>
    <t>Brent Thompson</t>
  </si>
  <si>
    <t>Pamela Cunningham</t>
  </si>
  <si>
    <t>â‚¬202.54</t>
  </si>
  <si>
    <t>Ms. Kristen Johnson</t>
  </si>
  <si>
    <t>Susan Griffin</t>
  </si>
  <si>
    <t>Rs455.57</t>
  </si>
  <si>
    <t>Darlene Clark</t>
  </si>
  <si>
    <t>Thomas Williams</t>
  </si>
  <si>
    <t>Â£378.58</t>
  </si>
  <si>
    <t>Corey King</t>
  </si>
  <si>
    <t>Â£110.44</t>
  </si>
  <si>
    <t>Lauren Burns</t>
  </si>
  <si>
    <t>Amy Baxter</t>
  </si>
  <si>
    <t>Â£274.12</t>
  </si>
  <si>
    <t>Jesse Wood</t>
  </si>
  <si>
    <t>Deborah Vasquez</t>
  </si>
  <si>
    <t>Rs224.83</t>
  </si>
  <si>
    <t>James Price</t>
  </si>
  <si>
    <t>Jessica Garcia</t>
  </si>
  <si>
    <t>Darryl Murphy</t>
  </si>
  <si>
    <t>Christian Chapman</t>
  </si>
  <si>
    <t>â‚¬207.23</t>
  </si>
  <si>
    <t>Maria Boyd</t>
  </si>
  <si>
    <t>Mike Miller</t>
  </si>
  <si>
    <t>â‚¬464.96</t>
  </si>
  <si>
    <t>Jacqueline Howell</t>
  </si>
  <si>
    <t>Felicia Smith</t>
  </si>
  <si>
    <t>Â£316.64</t>
  </si>
  <si>
    <t>Tracy Smith</t>
  </si>
  <si>
    <t>Amber Baxter</t>
  </si>
  <si>
    <t>Rs139.49</t>
  </si>
  <si>
    <t>Victoria Perry</t>
  </si>
  <si>
    <t>Heather Garcia</t>
  </si>
  <si>
    <t>â‚¬447.23</t>
  </si>
  <si>
    <t>Pamela Davis</t>
  </si>
  <si>
    <t>Antonio Galloway</t>
  </si>
  <si>
    <t>â‚¬320.38</t>
  </si>
  <si>
    <t>Stephanie Carr</t>
  </si>
  <si>
    <t>David Colon</t>
  </si>
  <si>
    <t>Carrie Davis</t>
  </si>
  <si>
    <t>Michael Jones</t>
  </si>
  <si>
    <t>Rs390.86</t>
  </si>
  <si>
    <t>Pamela Young</t>
  </si>
  <si>
    <t>Yvonne Richardson</t>
  </si>
  <si>
    <t>Leonard Clark</t>
  </si>
  <si>
    <t>Robert Foster</t>
  </si>
  <si>
    <t>Rs68.8</t>
  </si>
  <si>
    <t>Michele Perry</t>
  </si>
  <si>
    <t>Leslie Gomez</t>
  </si>
  <si>
    <t>â‚¬79.41</t>
  </si>
  <si>
    <t>Ryan Tucker</t>
  </si>
  <si>
    <t>Barbara Owens</t>
  </si>
  <si>
    <t>Rs224.61</t>
  </si>
  <si>
    <t>Kelsey Rice</t>
  </si>
  <si>
    <t>Darren Jensen</t>
  </si>
  <si>
    <t>Monique Daniels</t>
  </si>
  <si>
    <t>Alexander Brown</t>
  </si>
  <si>
    <t>Joseph Mcmillan</t>
  </si>
  <si>
    <t>Frederick Nielsen</t>
  </si>
  <si>
    <t>Rs308.59</t>
  </si>
  <si>
    <t>Miss Christine Lopez</t>
  </si>
  <si>
    <t>Cynthia Turner</t>
  </si>
  <si>
    <t>Christy Nunez</t>
  </si>
  <si>
    <t>Theresa Parker</t>
  </si>
  <si>
    <t>â‚¬338.24</t>
  </si>
  <si>
    <t>Jeff Lynch</t>
  </si>
  <si>
    <t>Joseph Gibbs</t>
  </si>
  <si>
    <t>â‚¬53.35</t>
  </si>
  <si>
    <t>James Mendez</t>
  </si>
  <si>
    <t>Jackie Brooks</t>
  </si>
  <si>
    <t>Kelly Hess</t>
  </si>
  <si>
    <t>Seth Benson</t>
  </si>
  <si>
    <t>Rs268.93</t>
  </si>
  <si>
    <t>Sandra Wilson</t>
  </si>
  <si>
    <t>Cheryl Adams</t>
  </si>
  <si>
    <t>â‚¬322.0</t>
  </si>
  <si>
    <t>Jennifer Williams</t>
  </si>
  <si>
    <t>Emily Barnes</t>
  </si>
  <si>
    <t>Kathryn Green</t>
  </si>
  <si>
    <t>Robert Moreno</t>
  </si>
  <si>
    <t>Rs415.78</t>
  </si>
  <si>
    <t>Holly Potter</t>
  </si>
  <si>
    <t>Christina Mitchell</t>
  </si>
  <si>
    <t>Rs274.5</t>
  </si>
  <si>
    <t>Catherine Stein</t>
  </si>
  <si>
    <t>Donald Jacobson</t>
  </si>
  <si>
    <t>Â£368.24</t>
  </si>
  <si>
    <t>Wendy Andrews</t>
  </si>
  <si>
    <t>Kimberly Wilcox</t>
  </si>
  <si>
    <t>Rs353.07</t>
  </si>
  <si>
    <t>Richard Alexander</t>
  </si>
  <si>
    <t>Monica Torres</t>
  </si>
  <si>
    <t>Â£358.68</t>
  </si>
  <si>
    <t>Javier Hawkins</t>
  </si>
  <si>
    <t>Debra Fields</t>
  </si>
  <si>
    <t>Sonya Wheeler</t>
  </si>
  <si>
    <t>Adam Carlson</t>
  </si>
  <si>
    <t>Rs433.05</t>
  </si>
  <si>
    <t>Jessica Castillo</t>
  </si>
  <si>
    <t>Bryan Newton</t>
  </si>
  <si>
    <t>â‚¬436.91</t>
  </si>
  <si>
    <t>Courtney Powell</t>
  </si>
  <si>
    <t>Kelly Hardin</t>
  </si>
  <si>
    <t>â‚¬252.53</t>
  </si>
  <si>
    <t>Crystal Oneal</t>
  </si>
  <si>
    <t>Harold Gray</t>
  </si>
  <si>
    <t>Alison Robinson</t>
  </si>
  <si>
    <t>Jose Thomas</t>
  </si>
  <si>
    <t>Â£175.6</t>
  </si>
  <si>
    <t>Justin White</t>
  </si>
  <si>
    <t>Jose Jackson</t>
  </si>
  <si>
    <t>Rs203.05</t>
  </si>
  <si>
    <t>Linda Ryan</t>
  </si>
  <si>
    <t>Sandra Johns</t>
  </si>
  <si>
    <t>Â£123.13</t>
  </si>
  <si>
    <t>Meghan Evans</t>
  </si>
  <si>
    <t>Courtney Yang</t>
  </si>
  <si>
    <t>Tiffany Stone</t>
  </si>
  <si>
    <t>Henry Kelley</t>
  </si>
  <si>
    <t>â‚¬180.76</t>
  </si>
  <si>
    <t>Melanie Hernandez</t>
  </si>
  <si>
    <t>Adam Anderson</t>
  </si>
  <si>
    <t>Gabriel Yang</t>
  </si>
  <si>
    <t>Justin Thomas</t>
  </si>
  <si>
    <t>Â£236.58</t>
  </si>
  <si>
    <t>Nicole Garcia</t>
  </si>
  <si>
    <t>Guy Vaughn</t>
  </si>
  <si>
    <t>Jenny Martin</t>
  </si>
  <si>
    <t>Andrew Terry</t>
  </si>
  <si>
    <t>â‚¬394.58</t>
  </si>
  <si>
    <t>Audrey Irwin</t>
  </si>
  <si>
    <t>Michael Murphy</t>
  </si>
  <si>
    <t>â‚¬96.12</t>
  </si>
  <si>
    <t>Bryan Armstrong</t>
  </si>
  <si>
    <t>Robert Escobar</t>
  </si>
  <si>
    <t>Rs305.01</t>
  </si>
  <si>
    <t>Lisa Hill</t>
  </si>
  <si>
    <t>Mia Boyd</t>
  </si>
  <si>
    <t>Susan Delgado</t>
  </si>
  <si>
    <t>Paula Mann</t>
  </si>
  <si>
    <t>â‚¬304.86</t>
  </si>
  <si>
    <t>Bradley Myers</t>
  </si>
  <si>
    <t>Mark Barrett</t>
  </si>
  <si>
    <t>Rs426.51</t>
  </si>
  <si>
    <t>Derek Smith</t>
  </si>
  <si>
    <t>Jeremy Burton</t>
  </si>
  <si>
    <t>Taylor Farley</t>
  </si>
  <si>
    <t>Christy Lewis</t>
  </si>
  <si>
    <t>Richard Richardson</t>
  </si>
  <si>
    <t>Robin Hebert</t>
  </si>
  <si>
    <t>Rs226.12</t>
  </si>
  <si>
    <t>Ryan Rodriguez</t>
  </si>
  <si>
    <t>Eric Kennedy</t>
  </si>
  <si>
    <t>Rs277.5</t>
  </si>
  <si>
    <t>Jeremy Coleman</t>
  </si>
  <si>
    <t>David Riley</t>
  </si>
  <si>
    <t>Rs63.99</t>
  </si>
  <si>
    <t>Alexander Williams</t>
  </si>
  <si>
    <t>Erin Chandler</t>
  </si>
  <si>
    <t>Rs85.56</t>
  </si>
  <si>
    <t>Steven Richards</t>
  </si>
  <si>
    <t>Zachary Hamilton</t>
  </si>
  <si>
    <t>â‚¬237.1</t>
  </si>
  <si>
    <t>Toni Morris DDS</t>
  </si>
  <si>
    <t>Robin Medina</t>
  </si>
  <si>
    <t>â‚¬250.69</t>
  </si>
  <si>
    <t>Zachary Allen</t>
  </si>
  <si>
    <t>Justin Smith</t>
  </si>
  <si>
    <t>Mary Wilson</t>
  </si>
  <si>
    <t>Misty Higgins</t>
  </si>
  <si>
    <t>Nicole Shepard</t>
  </si>
  <si>
    <t>Mr. Ricky Le</t>
  </si>
  <si>
    <t>â‚¬77.79</t>
  </si>
  <si>
    <t>Trevor Anderson</t>
  </si>
  <si>
    <t>Kenneth Johnson</t>
  </si>
  <si>
    <t>â‚¬156.32</t>
  </si>
  <si>
    <t>Robert Wade</t>
  </si>
  <si>
    <t>Phillip Shelton</t>
  </si>
  <si>
    <t>Oscar Luna</t>
  </si>
  <si>
    <t>John Stewart</t>
  </si>
  <si>
    <t>Lance Hobbs</t>
  </si>
  <si>
    <t>Mr. James Brown</t>
  </si>
  <si>
    <t>Misty Wells</t>
  </si>
  <si>
    <t>Debra Booker</t>
  </si>
  <si>
    <t>Â£353.8</t>
  </si>
  <si>
    <t>Adam Mcdonald</t>
  </si>
  <si>
    <t>David Schmidt</t>
  </si>
  <si>
    <t>Â£174.54</t>
  </si>
  <si>
    <t>David Mann</t>
  </si>
  <si>
    <t>Donald Ferguson</t>
  </si>
  <si>
    <t>Â£217.77</t>
  </si>
  <si>
    <t>Daniel White</t>
  </si>
  <si>
    <t>Chad Johnson</t>
  </si>
  <si>
    <t>Rs277.51</t>
  </si>
  <si>
    <t>Steven Gonzalez</t>
  </si>
  <si>
    <t>Jonathan Daniels</t>
  </si>
  <si>
    <t>Â£259.19</t>
  </si>
  <si>
    <t>Samuel Harrison</t>
  </si>
  <si>
    <t>Hunter Powell</t>
  </si>
  <si>
    <t>Rs492.92</t>
  </si>
  <si>
    <t>Bethany Williams</t>
  </si>
  <si>
    <t>Kayla Woods</t>
  </si>
  <si>
    <t>â‚¬51.38</t>
  </si>
  <si>
    <t>Eddie Tate</t>
  </si>
  <si>
    <t>Paul Johnson</t>
  </si>
  <si>
    <t>Rs374.03</t>
  </si>
  <si>
    <t>Christopher Trujillo</t>
  </si>
  <si>
    <t>Keith Smith</t>
  </si>
  <si>
    <t>Â£175.33</t>
  </si>
  <si>
    <t>Sarah Thompson</t>
  </si>
  <si>
    <t>Ruth Shaw</t>
  </si>
  <si>
    <t>Â£129.25</t>
  </si>
  <si>
    <t>Bradley Jones</t>
  </si>
  <si>
    <t>Douglas Patton</t>
  </si>
  <si>
    <t>Rs257.41</t>
  </si>
  <si>
    <t>Emma Ferrell</t>
  </si>
  <si>
    <t>David Bradford</t>
  </si>
  <si>
    <t>â‚¬337.48</t>
  </si>
  <si>
    <t>Michael Garcia</t>
  </si>
  <si>
    <t>Barbara Mack</t>
  </si>
  <si>
    <t>â‚¬310.15</t>
  </si>
  <si>
    <t>Darlene Hodge</t>
  </si>
  <si>
    <t>Amanda Cruz</t>
  </si>
  <si>
    <t>â‚¬63.14</t>
  </si>
  <si>
    <t>Katherine Rios</t>
  </si>
  <si>
    <t>Elizabeth Foster</t>
  </si>
  <si>
    <t>Jennifer Shaffer</t>
  </si>
  <si>
    <t>Brittany Watson</t>
  </si>
  <si>
    <t>Leslie Newman</t>
  </si>
  <si>
    <t>Lindsey Mendoza</t>
  </si>
  <si>
    <t>Rs125.35</t>
  </si>
  <si>
    <t>Alejandro Romero</t>
  </si>
  <si>
    <t>Karen Hancock</t>
  </si>
  <si>
    <t>Â£206.69</t>
  </si>
  <si>
    <t>Ashley Peterson</t>
  </si>
  <si>
    <t>Kyle Mcintyre</t>
  </si>
  <si>
    <t>Â£358.45</t>
  </si>
  <si>
    <t>Steven Wallace</t>
  </si>
  <si>
    <t>Katherine Martin</t>
  </si>
  <si>
    <t>â‚¬496.62</t>
  </si>
  <si>
    <t>Lindsey Sullivan MD</t>
  </si>
  <si>
    <t>David Barnett</t>
  </si>
  <si>
    <t>Rs290.47</t>
  </si>
  <si>
    <t>William Wilson</t>
  </si>
  <si>
    <t>Jacob Bernard</t>
  </si>
  <si>
    <t>â‚¬346.4</t>
  </si>
  <si>
    <t>Kenneth Cox</t>
  </si>
  <si>
    <t>Brian Walker</t>
  </si>
  <si>
    <t>Susan Winters</t>
  </si>
  <si>
    <t>Christopher Simpson</t>
  </si>
  <si>
    <t>Marissa Randall</t>
  </si>
  <si>
    <t>Kent Cannon</t>
  </si>
  <si>
    <t>Rs299.12</t>
  </si>
  <si>
    <t>Lydia Davis</t>
  </si>
  <si>
    <t>Brian Rodriguez</t>
  </si>
  <si>
    <t>â‚¬286.79</t>
  </si>
  <si>
    <t>Jason Kennedy</t>
  </si>
  <si>
    <t>Robert Fowler</t>
  </si>
  <si>
    <t>â‚¬330.76</t>
  </si>
  <si>
    <t>Bill Brown</t>
  </si>
  <si>
    <t>â‚¬69.76</t>
  </si>
  <si>
    <t>Shannon Vargas</t>
  </si>
  <si>
    <t>Brian Caldwell</t>
  </si>
  <si>
    <t>Jennifer Dorsey</t>
  </si>
  <si>
    <t>Michael Stanley</t>
  </si>
  <si>
    <t>Gary Simpson</t>
  </si>
  <si>
    <t>Veronica Chen</t>
  </si>
  <si>
    <t>Nicole Adams</t>
  </si>
  <si>
    <t>Krystal Krueger</t>
  </si>
  <si>
    <t>â‚¬357.53</t>
  </si>
  <si>
    <t>Gary Ramos</t>
  </si>
  <si>
    <t>Gregory Riley</t>
  </si>
  <si>
    <t>Rs353.35</t>
  </si>
  <si>
    <t>Veronica Shaw</t>
  </si>
  <si>
    <t>Michael Franco</t>
  </si>
  <si>
    <t>Â£174.42</t>
  </si>
  <si>
    <t>Lisa Smith</t>
  </si>
  <si>
    <t>Daniel Beck</t>
  </si>
  <si>
    <t>Rs449.41</t>
  </si>
  <si>
    <t>Eric Lawson</t>
  </si>
  <si>
    <t>Andrew Webb</t>
  </si>
  <si>
    <t>Vanessa Wright</t>
  </si>
  <si>
    <t>Virginia Sharp</t>
  </si>
  <si>
    <t>Rs344.67</t>
  </si>
  <si>
    <t>Edward Thomas</t>
  </si>
  <si>
    <t>Teresa Medina</t>
  </si>
  <si>
    <t>Cassandra Peterson</t>
  </si>
  <si>
    <t>Mary Sanchez</t>
  </si>
  <si>
    <t>Ellen Stevens</t>
  </si>
  <si>
    <t>Charles Wells</t>
  </si>
  <si>
    <t>Â£479.79</t>
  </si>
  <si>
    <t>Shawn Mendoza</t>
  </si>
  <si>
    <t>Erin Walton</t>
  </si>
  <si>
    <t>â‚¬77.99</t>
  </si>
  <si>
    <t>Sandra Hill</t>
  </si>
  <si>
    <t>Julie May</t>
  </si>
  <si>
    <t>Rs113.2</t>
  </si>
  <si>
    <t>Oscar Hunt</t>
  </si>
  <si>
    <t>Michael Mason</t>
  </si>
  <si>
    <t>Â£363.04</t>
  </si>
  <si>
    <t>Tristan Booth</t>
  </si>
  <si>
    <t>Alicia Hall</t>
  </si>
  <si>
    <t>Ashlee Warren</t>
  </si>
  <si>
    <t>Cynthia Cruz</t>
  </si>
  <si>
    <t>Rs289.74</t>
  </si>
  <si>
    <t>Alexander Vega</t>
  </si>
  <si>
    <t>Karen Gomez</t>
  </si>
  <si>
    <t>Breanna Lewis</t>
  </si>
  <si>
    <t>Jerry Tucker</t>
  </si>
  <si>
    <t>Â£155.98</t>
  </si>
  <si>
    <t>Jackie Lane</t>
  </si>
  <si>
    <t>Jackie Harper</t>
  </si>
  <si>
    <t>Rs335.27</t>
  </si>
  <si>
    <t>Shawn Cordova</t>
  </si>
  <si>
    <t>Wendy Mcguire</t>
  </si>
  <si>
    <t>Rs285.22</t>
  </si>
  <si>
    <t>Christina Macdonald</t>
  </si>
  <si>
    <t>Samuel Ramirez</t>
  </si>
  <si>
    <t>Rs91.36</t>
  </si>
  <si>
    <t>Dylan Jones</t>
  </si>
  <si>
    <t>Katherine Small</t>
  </si>
  <si>
    <t>Rs498.58</t>
  </si>
  <si>
    <t>Christine Herring</t>
  </si>
  <si>
    <t>Kristin Hartman</t>
  </si>
  <si>
    <t>â‚¬453.73</t>
  </si>
  <si>
    <t>Brandon Carter</t>
  </si>
  <si>
    <t>Â£218.54</t>
  </si>
  <si>
    <t>Lori Dean</t>
  </si>
  <si>
    <t>Theresa Williams</t>
  </si>
  <si>
    <t>Rs312.26</t>
  </si>
  <si>
    <t>Deborah Robinson</t>
  </si>
  <si>
    <t>Joseph Bell</t>
  </si>
  <si>
    <t>â‚¬159.21</t>
  </si>
  <si>
    <t>Jason Tate</t>
  </si>
  <si>
    <t>Kimberly Young</t>
  </si>
  <si>
    <t>â‚¬484.79</t>
  </si>
  <si>
    <t>Jill Mcconnell</t>
  </si>
  <si>
    <t>Jessica Miller</t>
  </si>
  <si>
    <t>Rs475.35</t>
  </si>
  <si>
    <t>Kyle Barnes Jr.</t>
  </si>
  <si>
    <t>Donna Peters</t>
  </si>
  <si>
    <t>Regina Smith</t>
  </si>
  <si>
    <t>Donna Orr</t>
  </si>
  <si>
    <t>Jeffrey Warren</t>
  </si>
  <si>
    <t>Mrs. Michelle Reed</t>
  </si>
  <si>
    <t>Rs340.54</t>
  </si>
  <si>
    <t>Andre Crosby</t>
  </si>
  <si>
    <t>Douglas Smith</t>
  </si>
  <si>
    <t>Jessica Maldonado DDS</t>
  </si>
  <si>
    <t>Kelly Thomas</t>
  </si>
  <si>
    <t>Â£166.21</t>
  </si>
  <si>
    <t>Ian Bush</t>
  </si>
  <si>
    <t>Steven Welch</t>
  </si>
  <si>
    <t>â‚¬418.29</t>
  </si>
  <si>
    <t>Nicole Warren</t>
  </si>
  <si>
    <t>Kimberly Beck</t>
  </si>
  <si>
    <t>Â£415.35</t>
  </si>
  <si>
    <t>Dennis Jacobs</t>
  </si>
  <si>
    <t>Katherine Long</t>
  </si>
  <si>
    <t>Edward Black</t>
  </si>
  <si>
    <t>Nathan Summers</t>
  </si>
  <si>
    <t>Rs268.75</t>
  </si>
  <si>
    <t>Suzanne Jenkins</t>
  </si>
  <si>
    <t>Maureen Jacobson</t>
  </si>
  <si>
    <t>â‚¬248.97</t>
  </si>
  <si>
    <t>Lindsey Green</t>
  </si>
  <si>
    <t>James Fleming</t>
  </si>
  <si>
    <t>Sarah Hernandez</t>
  </si>
  <si>
    <t>Jeremy Mclaughlin</t>
  </si>
  <si>
    <t>Christina Eaton</t>
  </si>
  <si>
    <t>Stephanie Kelley DVM</t>
  </si>
  <si>
    <t>Angela Rogers</t>
  </si>
  <si>
    <t>Dr. Brian Smith</t>
  </si>
  <si>
    <t>Rs362.08</t>
  </si>
  <si>
    <t>Molly Hayden</t>
  </si>
  <si>
    <t>Brian Chambers</t>
  </si>
  <si>
    <t>Â£306.62</t>
  </si>
  <si>
    <t>Brian Clarke</t>
  </si>
  <si>
    <t>Amanda Hoffman</t>
  </si>
  <si>
    <t>Steven Morgan</t>
  </si>
  <si>
    <t>Donna Adkins</t>
  </si>
  <si>
    <t>Â£298.42</t>
  </si>
  <si>
    <t>Sara Morse</t>
  </si>
  <si>
    <t>Mrs. Jennifer Ingram</t>
  </si>
  <si>
    <t>Katrina Williams MD</t>
  </si>
  <si>
    <t>Troy Torres</t>
  </si>
  <si>
    <t>Matthew Carney</t>
  </si>
  <si>
    <t>Stephanie Moss</t>
  </si>
  <si>
    <t>Jason Bray</t>
  </si>
  <si>
    <t>â‚¬52.32</t>
  </si>
  <si>
    <t>Jade Blanchard MD</t>
  </si>
  <si>
    <t>Amber Waters</t>
  </si>
  <si>
    <t>Pamela Johnson</t>
  </si>
  <si>
    <t>Crystal Garza</t>
  </si>
  <si>
    <t>Rs417.42</t>
  </si>
  <si>
    <t>Glenn Wall</t>
  </si>
  <si>
    <t>Sarah Peterson</t>
  </si>
  <si>
    <t>Christopher Beard</t>
  </si>
  <si>
    <t>Jerry Torres</t>
  </si>
  <si>
    <t>Rs126.44</t>
  </si>
  <si>
    <t>Darin Caldwell</t>
  </si>
  <si>
    <t>Danielle Pacheco</t>
  </si>
  <si>
    <t>â‚¬185.15</t>
  </si>
  <si>
    <t>Henry Henderson</t>
  </si>
  <si>
    <t>James Love</t>
  </si>
  <si>
    <t>Regina Giles</t>
  </si>
  <si>
    <t>Kimberly Foster</t>
  </si>
  <si>
    <t>â‚¬258.9</t>
  </si>
  <si>
    <t>Curtis Cooke</t>
  </si>
  <si>
    <t>John Hancock</t>
  </si>
  <si>
    <t>â‚¬477.08</t>
  </si>
  <si>
    <t>Joel Marshall</t>
  </si>
  <si>
    <t>Victoria Garcia</t>
  </si>
  <si>
    <t>â‚¬306.8</t>
  </si>
  <si>
    <t>Peter Schaefer</t>
  </si>
  <si>
    <t>Carlos Spence</t>
  </si>
  <si>
    <t>Rs190.01</t>
  </si>
  <si>
    <t>Andrew Cross</t>
  </si>
  <si>
    <t>Victor Warner</t>
  </si>
  <si>
    <t>Rs281.44</t>
  </si>
  <si>
    <t>Jonathan Fernandez</t>
  </si>
  <si>
    <t>Luis Nolan</t>
  </si>
  <si>
    <t>Rs252.73</t>
  </si>
  <si>
    <t>Rebecca Gould</t>
  </si>
  <si>
    <t>Xavier Richardson</t>
  </si>
  <si>
    <t>Â£397.0</t>
  </si>
  <si>
    <t>Anthony Nash</t>
  </si>
  <si>
    <t>Brianna Shea</t>
  </si>
  <si>
    <t>Rs392.0</t>
  </si>
  <si>
    <t>Kimberly Fitzpatrick</t>
  </si>
  <si>
    <t>Mark Moore</t>
  </si>
  <si>
    <t>Elizabeth Duke</t>
  </si>
  <si>
    <t>Michael Rogers</t>
  </si>
  <si>
    <t>â‚¬156.61</t>
  </si>
  <si>
    <t>Richard Griffin</t>
  </si>
  <si>
    <t>Tina Gonzalez</t>
  </si>
  <si>
    <t>Rs81.87</t>
  </si>
  <si>
    <t>Erica Jimenez</t>
  </si>
  <si>
    <t>Bethany Mcpherson</t>
  </si>
  <si>
    <t>Â£438.16</t>
  </si>
  <si>
    <t>Melissa Allen</t>
  </si>
  <si>
    <t>Rodney Lopez</t>
  </si>
  <si>
    <t>Â£447.77</t>
  </si>
  <si>
    <t>Manuel Becker</t>
  </si>
  <si>
    <t>Jacob Patel</t>
  </si>
  <si>
    <t>Jamie Andrews</t>
  </si>
  <si>
    <t>Â£393.1</t>
  </si>
  <si>
    <t>Shannon Flores</t>
  </si>
  <si>
    <t>Scott Washington</t>
  </si>
  <si>
    <t>Â£248.78</t>
  </si>
  <si>
    <t>Tara Garrison</t>
  </si>
  <si>
    <t>Stacy Hartman</t>
  </si>
  <si>
    <t>Â£453.09</t>
  </si>
  <si>
    <t>Kevin Fields</t>
  </si>
  <si>
    <t>â‚¬57.05</t>
  </si>
  <si>
    <t>Sandra Terry</t>
  </si>
  <si>
    <t>Debra Buchanan</t>
  </si>
  <si>
    <t>Â£386.04</t>
  </si>
  <si>
    <t>Steven Miller</t>
  </si>
  <si>
    <t>Bob Shaw</t>
  </si>
  <si>
    <t>Â£204.82</t>
  </si>
  <si>
    <t>Haley King</t>
  </si>
  <si>
    <t>Erin Carr</t>
  </si>
  <si>
    <t>â‚¬239.93</t>
  </si>
  <si>
    <t>Jonathan Wood</t>
  </si>
  <si>
    <t>Jon Duarte</t>
  </si>
  <si>
    <t>Rs486.07</t>
  </si>
  <si>
    <t>Jessica Ali</t>
  </si>
  <si>
    <t>Willie Rose</t>
  </si>
  <si>
    <t>â‚¬73.35</t>
  </si>
  <si>
    <t>Bridget Cooley</t>
  </si>
  <si>
    <t>Ashley Edwards</t>
  </si>
  <si>
    <t>Â£144.78</t>
  </si>
  <si>
    <t>Brad Hill</t>
  </si>
  <si>
    <t>Emily Joseph</t>
  </si>
  <si>
    <t>â‚¬92.16</t>
  </si>
  <si>
    <t>Nathan Murphy</t>
  </si>
  <si>
    <t>Kerry Rowe</t>
  </si>
  <si>
    <t>Rs164.9</t>
  </si>
  <si>
    <t>Stephanie Caldwell MD</t>
  </si>
  <si>
    <t>Darrell Mendez</t>
  </si>
  <si>
    <t>Henry Carlson</t>
  </si>
  <si>
    <t>Rs230.11</t>
  </si>
  <si>
    <t>Michael Evans</t>
  </si>
  <si>
    <t>Manuel Vargas</t>
  </si>
  <si>
    <t>â‚¬304.67</t>
  </si>
  <si>
    <t>Heidi Hamilton</t>
  </si>
  <si>
    <t>Â£275.12</t>
  </si>
  <si>
    <t>Jeremiah Cruz</t>
  </si>
  <si>
    <t>Matthew Pratt</t>
  </si>
  <si>
    <t>â‚¬177.85</t>
  </si>
  <si>
    <t>Nicholas Vasquez</t>
  </si>
  <si>
    <t>Jennifer Anderson</t>
  </si>
  <si>
    <t>Rs410.8</t>
  </si>
  <si>
    <t>Cheryl Smith</t>
  </si>
  <si>
    <t>Sarah Harper DDS</t>
  </si>
  <si>
    <t>Matthew Moore</t>
  </si>
  <si>
    <t>Erica Riley</t>
  </si>
  <si>
    <t>Rs116.32</t>
  </si>
  <si>
    <t>Katherine Wilson</t>
  </si>
  <si>
    <t>Mitchell Sims</t>
  </si>
  <si>
    <t>Dawn Collins</t>
  </si>
  <si>
    <t>John Rich</t>
  </si>
  <si>
    <t>Jennifer Johnston</t>
  </si>
  <si>
    <t>Kathleen Oneal</t>
  </si>
  <si>
    <t>Jacob Andrade</t>
  </si>
  <si>
    <t>Courtney Hunt</t>
  </si>
  <si>
    <t>Mrs. Kayla Peterson</t>
  </si>
  <si>
    <t>â‚¬303.91</t>
  </si>
  <si>
    <t>Steven Wilson</t>
  </si>
  <si>
    <t>Hannah Herrera</t>
  </si>
  <si>
    <t>Meghan Sanchez</t>
  </si>
  <si>
    <t>Judith Watson</t>
  </si>
  <si>
    <t>â‚¬282.36</t>
  </si>
  <si>
    <t>Amanda Johnston</t>
  </si>
  <si>
    <t>Angela Burton</t>
  </si>
  <si>
    <t>Richard Jones</t>
  </si>
  <si>
    <t>Stephen Cooper</t>
  </si>
  <si>
    <t>Â£243.46</t>
  </si>
  <si>
    <t>Lindsay Harris</t>
  </si>
  <si>
    <t>Ryan Hughes</t>
  </si>
  <si>
    <t>â‚¬444.38</t>
  </si>
  <si>
    <t>Kathy Banks</t>
  </si>
  <si>
    <t>Anna Yoder</t>
  </si>
  <si>
    <t>Rs319.04</t>
  </si>
  <si>
    <t>Beth Murphy</t>
  </si>
  <si>
    <t>Adam Davis</t>
  </si>
  <si>
    <t>Â£330.71</t>
  </si>
  <si>
    <t>Barbara Johnston</t>
  </si>
  <si>
    <t>April Hood</t>
  </si>
  <si>
    <t>Rs160.18</t>
  </si>
  <si>
    <t>Patrick Perez</t>
  </si>
  <si>
    <t>Jesse Edwards</t>
  </si>
  <si>
    <t>Sonia Moss</t>
  </si>
  <si>
    <t>Joy Armstrong</t>
  </si>
  <si>
    <t>â‚¬244.09</t>
  </si>
  <si>
    <t>Dana Mcclure</t>
  </si>
  <si>
    <t>Mark Norton</t>
  </si>
  <si>
    <t>Â£150.5</t>
  </si>
  <si>
    <t>Ryan Williams</t>
  </si>
  <si>
    <t>Veronica Fry</t>
  </si>
  <si>
    <t>Amy Baird</t>
  </si>
  <si>
    <t>Diana Jones</t>
  </si>
  <si>
    <t>Â£262.16</t>
  </si>
  <si>
    <t>Frank Castaneda</t>
  </si>
  <si>
    <t>Christopher Chen</t>
  </si>
  <si>
    <t>Benjamin Ramirez</t>
  </si>
  <si>
    <t>Matthew Buckley</t>
  </si>
  <si>
    <t>Ryan Collins</t>
  </si>
  <si>
    <t>Rs476.81</t>
  </si>
  <si>
    <t>Kimberly Goodman</t>
  </si>
  <si>
    <t>Luis Kim</t>
  </si>
  <si>
    <t>â‚¬351.04</t>
  </si>
  <si>
    <t>Brandi Osborn</t>
  </si>
  <si>
    <t>Daisy Rodriguez</t>
  </si>
  <si>
    <t>Â£73.97</t>
  </si>
  <si>
    <t>Christopher Lopez</t>
  </si>
  <si>
    <t>Caleb Kennedy</t>
  </si>
  <si>
    <t>Ronnie Roach</t>
  </si>
  <si>
    <t>Jason Houston</t>
  </si>
  <si>
    <t>Rs167.5</t>
  </si>
  <si>
    <t>Gary Taylor</t>
  </si>
  <si>
    <t>Lauren Medina</t>
  </si>
  <si>
    <t>Â£321.5</t>
  </si>
  <si>
    <t>Rodney Gonzalez</t>
  </si>
  <si>
    <t>Patrick Roach</t>
  </si>
  <si>
    <t>Karen Duke</t>
  </si>
  <si>
    <t>â‚¬411.75</t>
  </si>
  <si>
    <t>Sandra Rojas</t>
  </si>
  <si>
    <t>Donna Stone</t>
  </si>
  <si>
    <t>Daniel Bender</t>
  </si>
  <si>
    <t>Â£462.15</t>
  </si>
  <si>
    <t>Erik Davis</t>
  </si>
  <si>
    <t>Amanda White</t>
  </si>
  <si>
    <t>Brian Patel</t>
  </si>
  <si>
    <t>Tracy Harris</t>
  </si>
  <si>
    <t>â‚¬124.69</t>
  </si>
  <si>
    <t>George Houston</t>
  </si>
  <si>
    <t>Brian Vincent</t>
  </si>
  <si>
    <t>â‚¬129.38</t>
  </si>
  <si>
    <t>Mrs. Katherine Huber PhD</t>
  </si>
  <si>
    <t>Kathryn Young</t>
  </si>
  <si>
    <t>Edward Russell</t>
  </si>
  <si>
    <t>Connor Brown</t>
  </si>
  <si>
    <t>Â£93.45</t>
  </si>
  <si>
    <t>Thomas Fleming</t>
  </si>
  <si>
    <t>Kimberly Mcdonald</t>
  </si>
  <si>
    <t>â‚¬73.45</t>
  </si>
  <si>
    <t>Savannah Butler</t>
  </si>
  <si>
    <t>James Nguyen</t>
  </si>
  <si>
    <t>David Wilson</t>
  </si>
  <si>
    <t>Matthew Wilson</t>
  </si>
  <si>
    <t>Â£414.94</t>
  </si>
  <si>
    <t>Jacob Price</t>
  </si>
  <si>
    <t>Kimberly Rangel</t>
  </si>
  <si>
    <t>â‚¬238.05</t>
  </si>
  <si>
    <t>Brian Mitchell</t>
  </si>
  <si>
    <t>Rs63.62</t>
  </si>
  <si>
    <t>Kendra Jones</t>
  </si>
  <si>
    <t>Karen Grimes</t>
  </si>
  <si>
    <t>Anthony Medina</t>
  </si>
  <si>
    <t>Richard Walker</t>
  </si>
  <si>
    <t>Desiree Wilkins</t>
  </si>
  <si>
    <t>Jamie Ford</t>
  </si>
  <si>
    <t>Ashley Cunningham</t>
  </si>
  <si>
    <t>Sarah Montgomery</t>
  </si>
  <si>
    <t>Rs160.05</t>
  </si>
  <si>
    <t>Abigail Townsend</t>
  </si>
  <si>
    <t>Allison Salazar</t>
  </si>
  <si>
    <t>Diana Collins</t>
  </si>
  <si>
    <t>Glenn Bond</t>
  </si>
  <si>
    <t>Â£359.32</t>
  </si>
  <si>
    <t>William Roberts Jr.</t>
  </si>
  <si>
    <t>Savannah Beltran</t>
  </si>
  <si>
    <t>Sean Bailey</t>
  </si>
  <si>
    <t>Erika Turner</t>
  </si>
  <si>
    <t>Â£319.92</t>
  </si>
  <si>
    <t>Adrian Vincent</t>
  </si>
  <si>
    <t>William Coleman MD</t>
  </si>
  <si>
    <t>Â£352.01</t>
  </si>
  <si>
    <t>John Walsh</t>
  </si>
  <si>
    <t>Wanda Cox</t>
  </si>
  <si>
    <t>Â£88.56</t>
  </si>
  <si>
    <t>Christopher Johnson</t>
  </si>
  <si>
    <t>Susan Stanton</t>
  </si>
  <si>
    <t>Roger Holmes</t>
  </si>
  <si>
    <t>Paula Stone</t>
  </si>
  <si>
    <t>Rs206.57</t>
  </si>
  <si>
    <t>Michael Hamilton</t>
  </si>
  <si>
    <t>Angie Smith</t>
  </si>
  <si>
    <t>Â£107.34</t>
  </si>
  <si>
    <t>Courtney Gonzales</t>
  </si>
  <si>
    <t>Kayla Norris</t>
  </si>
  <si>
    <t>Leslie Medina</t>
  </si>
  <si>
    <t>Matthew Morse</t>
  </si>
  <si>
    <t>Â£490.93</t>
  </si>
  <si>
    <t>Frank Fields</t>
  </si>
  <si>
    <t>Heather Diaz</t>
  </si>
  <si>
    <t>Darren Douglas</t>
  </si>
  <si>
    <t>Andrew Gordon</t>
  </si>
  <si>
    <t>Jerry Jones</t>
  </si>
  <si>
    <t>Ashley Gomez</t>
  </si>
  <si>
    <t>Sheila Barrett</t>
  </si>
  <si>
    <t>John Wallace</t>
  </si>
  <si>
    <t>Rs170.53</t>
  </si>
  <si>
    <t>Kim Morris</t>
  </si>
  <si>
    <t>Michael Morris</t>
  </si>
  <si>
    <t>Sarah Rivas</t>
  </si>
  <si>
    <t>Scott Vega</t>
  </si>
  <si>
    <t>Â£454.23</t>
  </si>
  <si>
    <t>Adam Lane</t>
  </si>
  <si>
    <t>Lynn Dorsey</t>
  </si>
  <si>
    <t>â‚¬104.3</t>
  </si>
  <si>
    <t>Ronald Taylor</t>
  </si>
  <si>
    <t>Vanessa Jackson</t>
  </si>
  <si>
    <t>Angela Smith</t>
  </si>
  <si>
    <t>Nicholas Jones</t>
  </si>
  <si>
    <t>Â£229.44</t>
  </si>
  <si>
    <t>Chad Tyler</t>
  </si>
  <si>
    <t>Tiffany Sullivan</t>
  </si>
  <si>
    <t>Â£424.53</t>
  </si>
  <si>
    <t>Mary Manning</t>
  </si>
  <si>
    <t>William Harris</t>
  </si>
  <si>
    <t>Samantha Hoffman</t>
  </si>
  <si>
    <t>Julie Smith</t>
  </si>
  <si>
    <t>Shawn Juarez</t>
  </si>
  <si>
    <t>Patrick Morrison</t>
  </si>
  <si>
    <t>â‚¬110.8</t>
  </si>
  <si>
    <t>Dave Summers</t>
  </si>
  <si>
    <t>Traci Hopkins</t>
  </si>
  <si>
    <t>Luke Brady</t>
  </si>
  <si>
    <t>Adam Hall</t>
  </si>
  <si>
    <t>â‚¬427.98</t>
  </si>
  <si>
    <t>Christian Guerrero</t>
  </si>
  <si>
    <t>Jennifer Perez</t>
  </si>
  <si>
    <t>Terrence Long</t>
  </si>
  <si>
    <t>Natalie Rodriguez</t>
  </si>
  <si>
    <t>Â£182.71</t>
  </si>
  <si>
    <t>Victor Everett</t>
  </si>
  <si>
    <t>Jacob Diaz</t>
  </si>
  <si>
    <t>â‚¬350.12</t>
  </si>
  <si>
    <t>Amanda Stevenson</t>
  </si>
  <si>
    <t>Tyler Cunningham</t>
  </si>
  <si>
    <t>â‚¬158.91</t>
  </si>
  <si>
    <t>Vanessa Perkins</t>
  </si>
  <si>
    <t>Megan Smith</t>
  </si>
  <si>
    <t>Â£457.94</t>
  </si>
  <si>
    <t>Michael Davis</t>
  </si>
  <si>
    <t>Karen Griffin</t>
  </si>
  <si>
    <t>â‚¬130.9</t>
  </si>
  <si>
    <t>Amy Pierce</t>
  </si>
  <si>
    <t>Ian Castillo</t>
  </si>
  <si>
    <t>Dakota Kelly</t>
  </si>
  <si>
    <t>Andre Jones</t>
  </si>
  <si>
    <t>Rs291.99</t>
  </si>
  <si>
    <t>Erin Williams</t>
  </si>
  <si>
    <t>Sean Hernandez</t>
  </si>
  <si>
    <t>Tiffany Cooper</t>
  </si>
  <si>
    <t>Katrina Jones</t>
  </si>
  <si>
    <t>â‚¬79.8</t>
  </si>
  <si>
    <t>Jerry White</t>
  </si>
  <si>
    <t>Steven Scott</t>
  </si>
  <si>
    <t>Rs151.58</t>
  </si>
  <si>
    <t>Joseph Pace</t>
  </si>
  <si>
    <t>Lydia Baker</t>
  </si>
  <si>
    <t>Rs338.13</t>
  </si>
  <si>
    <t>Jean Kramer</t>
  </si>
  <si>
    <t>Donald Clark</t>
  </si>
  <si>
    <t>â‚¬441.92</t>
  </si>
  <si>
    <t>David Rose</t>
  </si>
  <si>
    <t>Dana Ewing</t>
  </si>
  <si>
    <t>Rs114.73</t>
  </si>
  <si>
    <t>Kevin Pearson</t>
  </si>
  <si>
    <t>Â£405.59</t>
  </si>
  <si>
    <t>James Gibbs</t>
  </si>
  <si>
    <t>Lisa Norris</t>
  </si>
  <si>
    <t>Lori Henderson</t>
  </si>
  <si>
    <t>Terri Stewart</t>
  </si>
  <si>
    <t>Rs496.31</t>
  </si>
  <si>
    <t>Benjamin Lewis</t>
  </si>
  <si>
    <t>Taylor Hicks</t>
  </si>
  <si>
    <t>â‚¬213.17</t>
  </si>
  <si>
    <t>Matthew Johnson</t>
  </si>
  <si>
    <t>John Moran</t>
  </si>
  <si>
    <t>â‚¬150.15</t>
  </si>
  <si>
    <t>Karen Myers</t>
  </si>
  <si>
    <t>David Wright</t>
  </si>
  <si>
    <t>â‚¬371.69</t>
  </si>
  <si>
    <t>Shelly Chavez</t>
  </si>
  <si>
    <t>Megan Morales</t>
  </si>
  <si>
    <t>Maria Williams</t>
  </si>
  <si>
    <t>Brandi Thomas</t>
  </si>
  <si>
    <t>Â£189.17</t>
  </si>
  <si>
    <t>Robert Humphrey</t>
  </si>
  <si>
    <t>Vanessa Brown</t>
  </si>
  <si>
    <t>Matthew Gutierrez</t>
  </si>
  <si>
    <t>â‚¬309.31</t>
  </si>
  <si>
    <t>Rebecca Banks</t>
  </si>
  <si>
    <t>April Randall DDS</t>
  </si>
  <si>
    <t>Rs57.03</t>
  </si>
  <si>
    <t>Ashley Rodriguez</t>
  </si>
  <si>
    <t>Russell Zimmerman</t>
  </si>
  <si>
    <t>Rs219.97</t>
  </si>
  <si>
    <t>Laura Ford</t>
  </si>
  <si>
    <t>Kyle Evans</t>
  </si>
  <si>
    <t>Â£186.51</t>
  </si>
  <si>
    <t>James Stout</t>
  </si>
  <si>
    <t>Andrea Myers</t>
  </si>
  <si>
    <t>â‚¬77.05</t>
  </si>
  <si>
    <t>Ashley Foster</t>
  </si>
  <si>
    <t>Melinda Cannon</t>
  </si>
  <si>
    <t>Â£208.72</t>
  </si>
  <si>
    <t>Christian Thomas</t>
  </si>
  <si>
    <t>Gregory Tapia</t>
  </si>
  <si>
    <t>Â£390.16</t>
  </si>
  <si>
    <t>Stacy Gardner</t>
  </si>
  <si>
    <t>Michael Campbell</t>
  </si>
  <si>
    <t>Â£74.78</t>
  </si>
  <si>
    <t>Taylor Patterson</t>
  </si>
  <si>
    <t>Ellen Miller</t>
  </si>
  <si>
    <t>Justin Zimmerman</t>
  </si>
  <si>
    <t>Â£245.09</t>
  </si>
  <si>
    <t>Jaclyn Knight</t>
  </si>
  <si>
    <t>John Oliver</t>
  </si>
  <si>
    <t>Â£282.03</t>
  </si>
  <si>
    <t>Jessica Rodriguez</t>
  </si>
  <si>
    <t>Jeffrey Martin</t>
  </si>
  <si>
    <t>Rs411.85</t>
  </si>
  <si>
    <t>Patricia Johnson DDS</t>
  </si>
  <si>
    <t>Ana Hunt</t>
  </si>
  <si>
    <t>Â£144.89</t>
  </si>
  <si>
    <t>Alexandra Sandoval</t>
  </si>
  <si>
    <t>Rachel Moore</t>
  </si>
  <si>
    <t>Rs198.95</t>
  </si>
  <si>
    <t>Mandy Smith</t>
  </si>
  <si>
    <t>Brian Olson</t>
  </si>
  <si>
    <t>Rs246.05</t>
  </si>
  <si>
    <t>Danny Cooper</t>
  </si>
  <si>
    <t>Mark Morrison</t>
  </si>
  <si>
    <t>â‚¬164.43</t>
  </si>
  <si>
    <t>Dr. Christina Dunn</t>
  </si>
  <si>
    <t>Madeline Sharp</t>
  </si>
  <si>
    <t>Rs381.59</t>
  </si>
  <si>
    <t>Rachel Porter</t>
  </si>
  <si>
    <t>Patrick Russell</t>
  </si>
  <si>
    <t>â‚¬341.42</t>
  </si>
  <si>
    <t>Megan Williams</t>
  </si>
  <si>
    <t>Melissa Khan</t>
  </si>
  <si>
    <t>Rs456.12</t>
  </si>
  <si>
    <t>Michelle Hill</t>
  </si>
  <si>
    <t>Rachel Sanchez</t>
  </si>
  <si>
    <t>Rs371.84</t>
  </si>
  <si>
    <t>Donna Green</t>
  </si>
  <si>
    <t>Clifford Ramirez</t>
  </si>
  <si>
    <t>â‚¬263.23</t>
  </si>
  <si>
    <t>Leon Anderson</t>
  </si>
  <si>
    <t>Mary Chandler</t>
  </si>
  <si>
    <t>Cheryl Ruiz</t>
  </si>
  <si>
    <t>Maria Thomas</t>
  </si>
  <si>
    <t>Â£100.78</t>
  </si>
  <si>
    <t>Keith Douglas</t>
  </si>
  <si>
    <t>Dawn Browning</t>
  </si>
  <si>
    <t>Christina Spencer</t>
  </si>
  <si>
    <t>Mark Kelley</t>
  </si>
  <si>
    <t>Â£308.28</t>
  </si>
  <si>
    <t>April Rios</t>
  </si>
  <si>
    <t>Megan Mccann</t>
  </si>
  <si>
    <t>â‚¬471.3</t>
  </si>
  <si>
    <t>Mallory Martin</t>
  </si>
  <si>
    <t>David Whitney</t>
  </si>
  <si>
    <t>Rs437.95</t>
  </si>
  <si>
    <t>Elizabeth Johnson</t>
  </si>
  <si>
    <t>Dr. Mary Day</t>
  </si>
  <si>
    <t>Rs461.32</t>
  </si>
  <si>
    <t>Ellen Rogers</t>
  </si>
  <si>
    <t>Tammie Melendez</t>
  </si>
  <si>
    <t>â‚¬424.17</t>
  </si>
  <si>
    <t>Kenneth Jenkins</t>
  </si>
  <si>
    <t>Tanya Eaton</t>
  </si>
  <si>
    <t>â‚¬428.7</t>
  </si>
  <si>
    <t>Duane Mitchell</t>
  </si>
  <si>
    <t>Helen Jackson</t>
  </si>
  <si>
    <t>â‚¬159.11</t>
  </si>
  <si>
    <t>Mr. Paul Chavez</t>
  </si>
  <si>
    <t>Evan Marquez</t>
  </si>
  <si>
    <t>Ian Weaver</t>
  </si>
  <si>
    <t>Audrey Torres</t>
  </si>
  <si>
    <t>Rs317.16</t>
  </si>
  <si>
    <t>Justin Hall</t>
  </si>
  <si>
    <t>â‚¬470.63</t>
  </si>
  <si>
    <t>Brian Riley</t>
  </si>
  <si>
    <t>Charles Kemp</t>
  </si>
  <si>
    <t>Joshua Wallace</t>
  </si>
  <si>
    <t>Melissa Price</t>
  </si>
  <si>
    <t>â‚¬416.08</t>
  </si>
  <si>
    <t>Amy Cruz</t>
  </si>
  <si>
    <t>Tony Burke</t>
  </si>
  <si>
    <t>â‚¬458.79</t>
  </si>
  <si>
    <t>Carly Dixon</t>
  </si>
  <si>
    <t>Gary Murray</t>
  </si>
  <si>
    <t>Pamela Bradshaw</t>
  </si>
  <si>
    <t>Donald Mitchell</t>
  </si>
  <si>
    <t>Rs352.94</t>
  </si>
  <si>
    <t>Rebecca Hall</t>
  </si>
  <si>
    <t>Kevin Mendoza DVM</t>
  </si>
  <si>
    <t>â‚¬111.4</t>
  </si>
  <si>
    <t>James Lopez</t>
  </si>
  <si>
    <t>Carla Cole</t>
  </si>
  <si>
    <t>â‚¬161.54</t>
  </si>
  <si>
    <t>Christopher Powell</t>
  </si>
  <si>
    <t>Gary Wood</t>
  </si>
  <si>
    <t>Rs479.37</t>
  </si>
  <si>
    <t>Barbara Dalton</t>
  </si>
  <si>
    <t>Rachel Holloway</t>
  </si>
  <si>
    <t>Alejandra Turner</t>
  </si>
  <si>
    <t>â‚¬194.95</t>
  </si>
  <si>
    <t>Kelsey Shaffer</t>
  </si>
  <si>
    <t>Christina Simmons</t>
  </si>
  <si>
    <t>â‚¬91.05</t>
  </si>
  <si>
    <t>Kara Stewart</t>
  </si>
  <si>
    <t>Becky Sanchez</t>
  </si>
  <si>
    <t>â‚¬290.36</t>
  </si>
  <si>
    <t>Kenneth Fox</t>
  </si>
  <si>
    <t>Kimberly Sullivan</t>
  </si>
  <si>
    <t>Michelle Bradford</t>
  </si>
  <si>
    <t>â‚¬419.74</t>
  </si>
  <si>
    <t>Amy Wilson</t>
  </si>
  <si>
    <t>Nathan Mathews</t>
  </si>
  <si>
    <t>Danielle Ortega</t>
  </si>
  <si>
    <t>Tiffany Lowery</t>
  </si>
  <si>
    <t>Gregory Hines</t>
  </si>
  <si>
    <t>Rebecca Goodwin</t>
  </si>
  <si>
    <t>Rs255.43</t>
  </si>
  <si>
    <t>Amanda Douglas</t>
  </si>
  <si>
    <t>Gregory Gonzalez</t>
  </si>
  <si>
    <t>Scott Walker</t>
  </si>
  <si>
    <t>Brianna Hernandez</t>
  </si>
  <si>
    <t>Teresa Kim</t>
  </si>
  <si>
    <t>Gregory Brown</t>
  </si>
  <si>
    <t>Rs461.04</t>
  </si>
  <si>
    <t>Kimberly Miller</t>
  </si>
  <si>
    <t>Anna Jennings</t>
  </si>
  <si>
    <t>Â£261.01</t>
  </si>
  <si>
    <t>Ashley Black</t>
  </si>
  <si>
    <t>Dennis Murphy</t>
  </si>
  <si>
    <t>Wendy Parks</t>
  </si>
  <si>
    <t>Melissa Williams</t>
  </si>
  <si>
    <t>Stacy Clements</t>
  </si>
  <si>
    <t>Cynthia Dunn</t>
  </si>
  <si>
    <t>Rs96.19</t>
  </si>
  <si>
    <t>Kyle Gibbs</t>
  </si>
  <si>
    <t>Christopher Guzman</t>
  </si>
  <si>
    <t>Â£248.76</t>
  </si>
  <si>
    <t>Beth Stephens</t>
  </si>
  <si>
    <t>Scott Nguyen</t>
  </si>
  <si>
    <t>Rs246.63</t>
  </si>
  <si>
    <t>Michael Heath</t>
  </si>
  <si>
    <t>Rs256.59</t>
  </si>
  <si>
    <t>James Malone</t>
  </si>
  <si>
    <t>Rhonda Oconnor</t>
  </si>
  <si>
    <t>Christina Moore</t>
  </si>
  <si>
    <t>Joshua Martin</t>
  </si>
  <si>
    <t>Â£476.97</t>
  </si>
  <si>
    <t>Katie Mcdaniel</t>
  </si>
  <si>
    <t>Aaron Perkins</t>
  </si>
  <si>
    <t>Scott Thompson</t>
  </si>
  <si>
    <t>Erika Richards</t>
  </si>
  <si>
    <t>â‚¬466.59</t>
  </si>
  <si>
    <t>Jon Berry</t>
  </si>
  <si>
    <t>Heather Foster</t>
  </si>
  <si>
    <t>â‚¬342.3</t>
  </si>
  <si>
    <t>Connie Wheeler</t>
  </si>
  <si>
    <t>Sherri Buckley</t>
  </si>
  <si>
    <t>â‚¬444.2</t>
  </si>
  <si>
    <t>Jonathan Howell</t>
  </si>
  <si>
    <t>Darryl Case</t>
  </si>
  <si>
    <t>Rs421.18</t>
  </si>
  <si>
    <t>Michelle King</t>
  </si>
  <si>
    <t>Anthony Hughes</t>
  </si>
  <si>
    <t>â‚¬386.3</t>
  </si>
  <si>
    <t>Christine Barron</t>
  </si>
  <si>
    <t>Thomas Clark MD</t>
  </si>
  <si>
    <t>Rs107.04</t>
  </si>
  <si>
    <t>Dr. Karen Miller DDS</t>
  </si>
  <si>
    <t>Martin Herring</t>
  </si>
  <si>
    <t>Â£381.15</t>
  </si>
  <si>
    <t>Kimberly Barnett</t>
  </si>
  <si>
    <t>William Bryan</t>
  </si>
  <si>
    <t>â‚¬477.98</t>
  </si>
  <si>
    <t>Abigail Warner</t>
  </si>
  <si>
    <t>Heather Stokes</t>
  </si>
  <si>
    <t>â‚¬418.27</t>
  </si>
  <si>
    <t>Melissa Vaughn</t>
  </si>
  <si>
    <t>Vickie Johnson</t>
  </si>
  <si>
    <t>â‚¬300.52</t>
  </si>
  <si>
    <t>Jocelyn Strickland</t>
  </si>
  <si>
    <t>Vincent Kemp</t>
  </si>
  <si>
    <t>Lindsay Shaw</t>
  </si>
  <si>
    <t>Julia Mcmillan</t>
  </si>
  <si>
    <t>Â£485.93</t>
  </si>
  <si>
    <t>Melvin Bowers</t>
  </si>
  <si>
    <t>Robin Diaz</t>
  </si>
  <si>
    <t>Â£164.2</t>
  </si>
  <si>
    <t>Victoria Gilbert</t>
  </si>
  <si>
    <t>April Spears</t>
  </si>
  <si>
    <t>John Marsh</t>
  </si>
  <si>
    <t>Â£407.7</t>
  </si>
  <si>
    <t>Eugene Underwood</t>
  </si>
  <si>
    <t>Benjamin Williams</t>
  </si>
  <si>
    <t>Rs467.55</t>
  </si>
  <si>
    <t>Michelle Payne</t>
  </si>
  <si>
    <t>Cassandra Bishop</t>
  </si>
  <si>
    <t>â‚¬119.41</t>
  </si>
  <si>
    <t>Melanie Lee</t>
  </si>
  <si>
    <t>Andrea Kennedy</t>
  </si>
  <si>
    <t>Â£441.89</t>
  </si>
  <si>
    <t>Jessica Murray</t>
  </si>
  <si>
    <t>James Harris</t>
  </si>
  <si>
    <t>Rs184.38</t>
  </si>
  <si>
    <t>William Villarreal</t>
  </si>
  <si>
    <t>Ronald Davis</t>
  </si>
  <si>
    <t>Monica Jones</t>
  </si>
  <si>
    <t>Cheryl Bailey</t>
  </si>
  <si>
    <t>Rs363.94</t>
  </si>
  <si>
    <t>Craig Parsons</t>
  </si>
  <si>
    <t>Jose Price</t>
  </si>
  <si>
    <t>Â£323.0</t>
  </si>
  <si>
    <t>Cameron Lopez</t>
  </si>
  <si>
    <t>Christopher Williams</t>
  </si>
  <si>
    <t>Daniel Green</t>
  </si>
  <si>
    <t>Rs254.14</t>
  </si>
  <si>
    <t>William Hatfield</t>
  </si>
  <si>
    <t>Dawn Bryant</t>
  </si>
  <si>
    <t>Charles Nguyen</t>
  </si>
  <si>
    <t>Rs164.15</t>
  </si>
  <si>
    <t>Joseph Rodriguez</t>
  </si>
  <si>
    <t>Douglas Foster</t>
  </si>
  <si>
    <t>â‚¬94.37</t>
  </si>
  <si>
    <t>Bailey Williamson</t>
  </si>
  <si>
    <t>George Singleton</t>
  </si>
  <si>
    <t>Jeffrey Johnston</t>
  </si>
  <si>
    <t>Cynthia Baker</t>
  </si>
  <si>
    <t>Rs240.37</t>
  </si>
  <si>
    <t>Brandy Estes MD</t>
  </si>
  <si>
    <t>Andrea Lam</t>
  </si>
  <si>
    <t>Â£238.59</t>
  </si>
  <si>
    <t>Kristin Combs</t>
  </si>
  <si>
    <t>Frank Anderson</t>
  </si>
  <si>
    <t>Rs279.32</t>
  </si>
  <si>
    <t>Alex Rowe</t>
  </si>
  <si>
    <t>Derek Doyle</t>
  </si>
  <si>
    <t>Rs114.8</t>
  </si>
  <si>
    <t>Kevin Peters</t>
  </si>
  <si>
    <t>â‚¬96.78</t>
  </si>
  <si>
    <t>Hunter Miller</t>
  </si>
  <si>
    <t>Kathy Lawson</t>
  </si>
  <si>
    <t>Â£384.42</t>
  </si>
  <si>
    <t>Rebecca Franklin</t>
  </si>
  <si>
    <t>Daniel Love</t>
  </si>
  <si>
    <t>Rs187.7</t>
  </si>
  <si>
    <t>David Chapman</t>
  </si>
  <si>
    <t>Rachel Wells</t>
  </si>
  <si>
    <t>Â£382.67</t>
  </si>
  <si>
    <t>Timothy Fowler</t>
  </si>
  <si>
    <t>Donna Stephens</t>
  </si>
  <si>
    <t>â‚¬236.27</t>
  </si>
  <si>
    <t>Megan Russell</t>
  </si>
  <si>
    <t>Autumn Hill</t>
  </si>
  <si>
    <t>Courtney Wright</t>
  </si>
  <si>
    <t>Daniel Morris</t>
  </si>
  <si>
    <t>Rs362.65</t>
  </si>
  <si>
    <t>Natalie Marquez</t>
  </si>
  <si>
    <t>Jennifer Paul</t>
  </si>
  <si>
    <t>Â£401.58</t>
  </si>
  <si>
    <t>Sarah Wilson</t>
  </si>
  <si>
    <t>Courtney Foley</t>
  </si>
  <si>
    <t>Ashley Estes</t>
  </si>
  <si>
    <t>Stephanie Mercer</t>
  </si>
  <si>
    <t>Â£405.15</t>
  </si>
  <si>
    <t>William Bentley</t>
  </si>
  <si>
    <t>Jacob Mckay</t>
  </si>
  <si>
    <t>James Carey</t>
  </si>
  <si>
    <t>James Berger</t>
  </si>
  <si>
    <t>Â£470.08</t>
  </si>
  <si>
    <t>Nicholas Mcdaniel</t>
  </si>
  <si>
    <t>Daniel Smith</t>
  </si>
  <si>
    <t>â‚¬79.73</t>
  </si>
  <si>
    <t>Cheryl Rogers</t>
  </si>
  <si>
    <t>Victoria Hansen</t>
  </si>
  <si>
    <t>Â£376.76</t>
  </si>
  <si>
    <t>Patricia Jackson</t>
  </si>
  <si>
    <t>Rs378.92</t>
  </si>
  <si>
    <t>Erin Bates</t>
  </si>
  <si>
    <t>Chelsea Harris</t>
  </si>
  <si>
    <t>Aaron Holder</t>
  </si>
  <si>
    <t>Lauren Ayers</t>
  </si>
  <si>
    <t>Rs377.38</t>
  </si>
  <si>
    <t>Thomas Roman</t>
  </si>
  <si>
    <t>Robert Bass</t>
  </si>
  <si>
    <t>Rs200.43</t>
  </si>
  <si>
    <t>Jack Cooper</t>
  </si>
  <si>
    <t>Rs244.49</t>
  </si>
  <si>
    <t>Kimberly Johnson</t>
  </si>
  <si>
    <t>Â£154.48</t>
  </si>
  <si>
    <t>Anthony Mccoy</t>
  </si>
  <si>
    <t>Perry Crawford</t>
  </si>
  <si>
    <t>Marvin Hicks</t>
  </si>
  <si>
    <t>â‚¬102.23</t>
  </si>
  <si>
    <t/>
  </si>
  <si>
    <t>billing_amount(USD)</t>
  </si>
  <si>
    <t>Count of patient_id</t>
  </si>
  <si>
    <t>Sum of billing_amount(USD)</t>
  </si>
  <si>
    <t>18-30</t>
  </si>
  <si>
    <t>year</t>
  </si>
  <si>
    <t>amount(USD)</t>
  </si>
  <si>
    <t>age_range</t>
  </si>
  <si>
    <t>31-40</t>
  </si>
  <si>
    <t>41-50</t>
  </si>
  <si>
    <t>51-60</t>
  </si>
  <si>
    <t>61-70</t>
  </si>
  <si>
    <t>71-80</t>
  </si>
  <si>
    <t>81-90</t>
  </si>
  <si>
    <t>Clinic Dashboard Analysis</t>
  </si>
  <si>
    <t>Count of appointment_date</t>
  </si>
  <si>
    <t>Average of billing_amount(USD)</t>
  </si>
  <si>
    <t>Row Labels</t>
  </si>
  <si>
    <t>Age Range</t>
  </si>
  <si>
    <t>Follow Up</t>
  </si>
  <si>
    <t>Earnings</t>
  </si>
  <si>
    <t>Doctor</t>
  </si>
  <si>
    <t>lead days</t>
  </si>
  <si>
    <t>Average of lead days</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</si>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</sst>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
      <patternFill patternType="solid">
        <fgColor theme="2" tint="-9.9978637043366805E-2"/>
        <bgColor indexed="64"/>
      </patternFill>
    </fill>
    <fill>
      <patternFill patternType="solid">
        <fgColor theme="8"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9" tint="0.39997558519241921"/>
      </top>
      <bottom style="thin">
        <color theme="9" tint="0.39997558519241921"/>
      </bottom>
      <diagonal/>
    </border>
    <border>
      <left/>
      <right/>
      <top style="thin">
        <color theme="9" tint="0.3999755851924192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0" fontId="0" fillId="0" borderId="0" xfId="0" applyNumberFormat="1"/>
    <xf numFmtId="164" fontId="0" fillId="0" borderId="0" xfId="0" applyNumberFormat="1"/>
    <xf numFmtId="0" fontId="0" fillId="0" borderId="11" xfId="0" applyNumberFormat="1" applyFont="1" applyFill="1" applyBorder="1"/>
    <xf numFmtId="0" fontId="0" fillId="0" borderId="11" xfId="0" applyFont="1" applyFill="1" applyBorder="1"/>
    <xf numFmtId="14" fontId="0" fillId="0" borderId="11" xfId="0" applyNumberFormat="1" applyFont="1" applyFill="1" applyBorder="1"/>
    <xf numFmtId="0" fontId="0" fillId="0" borderId="10" xfId="0" applyNumberFormat="1" applyFont="1" applyFill="1" applyBorder="1"/>
    <xf numFmtId="0" fontId="0" fillId="0" borderId="10" xfId="0" applyFont="1" applyFill="1" applyBorder="1"/>
    <xf numFmtId="14" fontId="0" fillId="0" borderId="10" xfId="0" applyNumberFormat="1" applyFont="1" applyFill="1" applyBorder="1"/>
    <xf numFmtId="0" fontId="16" fillId="0" borderId="11" xfId="0" applyFont="1" applyFill="1" applyBorder="1"/>
    <xf numFmtId="0" fontId="16" fillId="0" borderId="0" xfId="0" applyFont="1" applyFill="1" applyBorder="1"/>
    <xf numFmtId="14" fontId="0" fillId="0" borderId="0" xfId="0" applyNumberFormat="1" applyFill="1"/>
    <xf numFmtId="0" fontId="0" fillId="0" borderId="0" xfId="0" pivotButton="1"/>
    <xf numFmtId="10" fontId="0" fillId="0" borderId="0" xfId="0" applyNumberFormat="1"/>
    <xf numFmtId="0" fontId="0" fillId="34" borderId="0" xfId="0" applyFill="1"/>
    <xf numFmtId="0" fontId="16" fillId="0" borderId="0" xfId="0" applyNumberFormat="1" applyFont="1"/>
    <xf numFmtId="2" fontId="0" fillId="0" borderId="0" xfId="0" applyNumberFormat="1"/>
    <xf numFmtId="0" fontId="0" fillId="0" borderId="0" xfId="0" applyAlignment="1">
      <alignment horizontal="left"/>
    </xf>
    <xf numFmtId="0" fontId="0" fillId="35" borderId="18" xfId="0" applyFill="1" applyBorder="1"/>
    <xf numFmtId="164" fontId="0" fillId="35" borderId="18" xfId="0" applyNumberFormat="1" applyFill="1" applyBorder="1"/>
    <xf numFmtId="10" fontId="0" fillId="35" borderId="18" xfId="0" applyNumberFormat="1" applyFill="1" applyBorder="1"/>
    <xf numFmtId="0" fontId="16" fillId="0" borderId="18" xfId="0" pivotButton="1" applyFont="1" applyBorder="1"/>
    <xf numFmtId="0" fontId="16" fillId="0" borderId="18" xfId="0" applyFont="1" applyBorder="1"/>
    <xf numFmtId="0" fontId="16" fillId="0" borderId="0" xfId="0" applyFont="1" applyFill="1"/>
    <xf numFmtId="0" fontId="18" fillId="33" borderId="12" xfId="0" applyFont="1" applyFill="1" applyBorder="1" applyAlignment="1">
      <alignment horizontal="center"/>
    </xf>
    <xf numFmtId="0" fontId="0" fillId="33" borderId="13" xfId="0" applyFill="1" applyBorder="1" applyAlignment="1">
      <alignment horizontal="center"/>
    </xf>
    <xf numFmtId="0" fontId="0" fillId="33" borderId="14" xfId="0" applyFill="1" applyBorder="1" applyAlignment="1">
      <alignment horizontal="center"/>
    </xf>
    <xf numFmtId="0" fontId="0" fillId="33" borderId="15" xfId="0" applyFill="1" applyBorder="1" applyAlignment="1">
      <alignment horizontal="center"/>
    </xf>
    <xf numFmtId="0" fontId="0" fillId="33" borderId="16" xfId="0" applyFill="1" applyBorder="1" applyAlignment="1">
      <alignment horizontal="center"/>
    </xf>
    <xf numFmtId="0" fontId="0" fillId="33" borderId="17"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9" tint="0.39997558519241921"/>
        </top>
        <bottom/>
        <vertical/>
        <horizontal/>
      </border>
    </dxf>
    <dxf>
      <numFmt numFmtId="164" formatCode="&quot;$&quot;#,##0.0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none">
          <fgColor indexed="64"/>
          <bgColor indexed="65"/>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none">
          <fgColor indexed="64"/>
          <bgColor indexed="65"/>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9" tint="0.39997558519241921"/>
        </top>
        <bottom/>
        <vertical/>
        <horizontal/>
      </border>
    </dxf>
    <dxf>
      <border outline="0">
        <left style="thin">
          <color theme="9" tint="0.39997558519241921"/>
        </left>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solid">
          <bgColor theme="8" tint="0.79998168889431442"/>
        </patternFill>
      </fill>
    </dxf>
    <dxf>
      <font>
        <b/>
      </font>
    </dxf>
    <dxf>
      <font>
        <b/>
      </font>
    </dxf>
    <dxf>
      <fill>
        <patternFill>
          <bgColor theme="8" tint="0.79998168889431442"/>
        </patternFill>
      </fill>
    </dxf>
    <dxf>
      <fill>
        <patternFill>
          <bgColor theme="8" tint="0.79998168889431442"/>
        </patternFill>
      </fill>
    </dxf>
    <dxf>
      <fill>
        <patternFill patternType="solid">
          <bgColor theme="1" tint="0.34998626667073579"/>
        </patternFill>
      </fill>
    </dxf>
    <dxf>
      <fill>
        <patternFill patternType="solid">
          <bgColor theme="1" tint="0.3499862666707357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numFmt numFmtId="2" formatCode="0.00"/>
    </dxf>
    <dxf>
      <font>
        <b/>
      </font>
    </dxf>
    <dxf>
      <numFmt numFmtId="2" formatCode="0.00"/>
    </dxf>
    <dxf>
      <font>
        <b/>
      </font>
    </dxf>
    <dxf>
      <font>
        <b/>
      </font>
    </dxf>
    <dxf>
      <fill>
        <patternFill>
          <bgColor theme="8" tint="0.79998168889431442"/>
        </patternFill>
      </fill>
    </dxf>
    <dxf>
      <fill>
        <patternFill>
          <bgColor theme="8" tint="0.79998168889431442"/>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[messy_clinic_appointmentshjhjhjhjhj88888888888888888888888888888(AutoRecovered).xlsx]dashboard!PivotTable1</c:name>
    <c:fmtId val="0"/>
  </c:pivotSource>
  <c:chart>
    <c:autoTitleDeleted val="1"/>
    <c:pivotFmts>
      <c:pivotFmt>
        <c:idx val="0"/>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Total</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dashboard!$A$4:$A$7</c:f>
              <c:strCache>
                <c:ptCount val="4"/>
                <c:pt idx="0">
                  <c:v>Cardiology</c:v>
                </c:pt>
                <c:pt idx="1">
                  <c:v>General</c:v>
                </c:pt>
                <c:pt idx="2">
                  <c:v>Neurology</c:v>
                </c:pt>
                <c:pt idx="3">
                  <c:v>Orthopedics</c:v>
                </c:pt>
              </c:strCache>
            </c:strRef>
          </c:cat>
          <c:val>
            <c:numRef>
              <c:f>dashboard!$B$4:$B$7</c:f>
              <c:numCache>
                <c:formatCode>General</c:formatCode>
                <c:ptCount val="4"/>
                <c:pt idx="0">
                  <c:v>58</c:v>
                </c:pt>
                <c:pt idx="1">
                  <c:v>64</c:v>
                </c:pt>
                <c:pt idx="2">
                  <c:v>66</c:v>
                </c:pt>
                <c:pt idx="3">
                  <c:v>52</c:v>
                </c:pt>
              </c:numCache>
            </c:numRef>
          </c:val>
          <c:extLst>
            <c:ext xmlns:c16="http://schemas.microsoft.com/office/drawing/2014/chart" uri="{C3380CC4-5D6E-409C-BE32-E72D297353CC}">
              <c16:uniqueId val="{00000000-300F-4905-A0EF-94A0A394AB94}"/>
            </c:ext>
          </c:extLst>
        </c:ser>
        <c:dLbls>
          <c:showLegendKey val="0"/>
          <c:showVal val="0"/>
          <c:showCatName val="0"/>
          <c:showSerName val="0"/>
          <c:showPercent val="0"/>
          <c:showBubbleSize val="0"/>
        </c:dLbls>
        <c:gapWidth val="182"/>
        <c:axId val="1839170047"/>
        <c:axId val="1839172127"/>
      </c:barChart>
      <c:catAx>
        <c:axId val="1839170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9172127"/>
        <c:crosses val="autoZero"/>
        <c:auto val="1"/>
        <c:lblAlgn val="ctr"/>
        <c:lblOffset val="100"/>
        <c:noMultiLvlLbl val="0"/>
      </c:catAx>
      <c:valAx>
        <c:axId val="1839172127"/>
        <c:scaling>
          <c:orientation val="minMax"/>
        </c:scaling>
        <c:delete val="1"/>
        <c:axPos val="b"/>
        <c:numFmt formatCode="General" sourceLinked="1"/>
        <c:majorTickMark val="none"/>
        <c:minorTickMark val="none"/>
        <c:tickLblPos val="nextTo"/>
        <c:crossAx val="1839170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[messy_clinic_appointmentshjhjhjhjhj88888888888888888888888888888(AutoRecovered).xlsx]dashboard!PivotTable2</c:name>
    <c:fmtId val="1"/>
  </c:pivotSource>
  <c:chart>
    <c:autoTitleDeleted val="1"/>
    <c:pivotFmts>
      <c:pivotFmt>
        <c:idx val="0"/>
        <c:spPr>
          <a:solidFill>
            <a:schemeClr val="accent6">
              <a:lumMod val="20000"/>
              <a:lumOff val="80000"/>
            </a:schemeClr>
          </a:solidFill>
          <a:ln>
            <a:noFill/>
          </a:ln>
          <a:effectLst/>
        </c:spPr>
        <c:marker>
          <c:symbol val="none"/>
        </c:marker>
        <c:dLbl>
          <c:idx val="0"/>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74190564452481"/>
          <c:y val="8.4278330846643296E-2"/>
          <c:w val="0.77770588676126107"/>
          <c:h val="0.84548972678115397"/>
        </c:manualLayout>
      </c:layout>
      <c:barChart>
        <c:barDir val="bar"/>
        <c:grouping val="clustered"/>
        <c:varyColors val="0"/>
        <c:ser>
          <c:idx val="0"/>
          <c:order val="0"/>
          <c:tx>
            <c:strRef>
              <c:f>dashboard!$K$4</c:f>
              <c:strCache>
                <c:ptCount val="1"/>
                <c:pt idx="0">
                  <c:v>Total</c:v>
                </c:pt>
              </c:strCache>
            </c:strRef>
          </c:tx>
          <c:spPr>
            <a:solidFill>
              <a:schemeClr val="accent6">
                <a:lumMod val="20000"/>
                <a:lumOff val="80000"/>
              </a:schemeClr>
            </a:solidFill>
            <a:ln>
              <a:noFill/>
            </a:ln>
            <a:effectLst/>
          </c:spPr>
          <c:invertIfNegative val="0"/>
          <c:dLbls>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dashboard!$J$5:$J$8</c:f>
              <c:strCache>
                <c:ptCount val="4"/>
                <c:pt idx="0">
                  <c:v>Cardiology</c:v>
                </c:pt>
                <c:pt idx="1">
                  <c:v>Orthopedics</c:v>
                </c:pt>
                <c:pt idx="2">
                  <c:v>General</c:v>
                </c:pt>
                <c:pt idx="3">
                  <c:v>Neurology</c:v>
                </c:pt>
              </c:strCache>
            </c:strRef>
          </c:cat>
          <c:val>
            <c:numRef>
              <c:f>dashboard!$K$5:$K$8</c:f>
              <c:numCache>
                <c:formatCode>General</c:formatCode>
                <c:ptCount val="4"/>
                <c:pt idx="0">
                  <c:v>13307.629999999997</c:v>
                </c:pt>
                <c:pt idx="1">
                  <c:v>13593.81</c:v>
                </c:pt>
                <c:pt idx="2">
                  <c:v>15148.150000000001</c:v>
                </c:pt>
                <c:pt idx="3">
                  <c:v>16183.3</c:v>
                </c:pt>
              </c:numCache>
            </c:numRef>
          </c:val>
          <c:extLst>
            <c:ext xmlns:c16="http://schemas.microsoft.com/office/drawing/2014/chart" uri="{C3380CC4-5D6E-409C-BE32-E72D297353CC}">
              <c16:uniqueId val="{00000000-606E-4E4E-BC3B-4C79A413ADF0}"/>
            </c:ext>
          </c:extLst>
        </c:ser>
        <c:dLbls>
          <c:showLegendKey val="0"/>
          <c:showVal val="0"/>
          <c:showCatName val="0"/>
          <c:showSerName val="0"/>
          <c:showPercent val="0"/>
          <c:showBubbleSize val="0"/>
        </c:dLbls>
        <c:gapWidth val="182"/>
        <c:axId val="1107518911"/>
        <c:axId val="1107516831"/>
      </c:barChart>
      <c:catAx>
        <c:axId val="1107518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7516831"/>
        <c:crosses val="autoZero"/>
        <c:auto val="1"/>
        <c:lblAlgn val="ctr"/>
        <c:lblOffset val="100"/>
        <c:noMultiLvlLbl val="0"/>
      </c:catAx>
      <c:valAx>
        <c:axId val="1107516831"/>
        <c:scaling>
          <c:orientation val="minMax"/>
        </c:scaling>
        <c:delete val="1"/>
        <c:axPos val="b"/>
        <c:numFmt formatCode="General" sourceLinked="1"/>
        <c:majorTickMark val="none"/>
        <c:minorTickMark val="none"/>
        <c:tickLblPos val="nextTo"/>
        <c:crossAx val="1107518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[messy_clinic_appointmentshjhjhjhjhj88888888888888888888888888888(AutoRecovered).xlsx]dashboard!ageeeeeeeeee</c:name>
    <c:fmtId val="0"/>
  </c:pivotSource>
  <c:chart>
    <c:autoTitleDeleted val="1"/>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layout>
            <c:manualLayout>
              <c:x val="5.5555555555554534E-3"/>
              <c:y val="-7.87037037037036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layout>
            <c:manualLayout>
              <c:x val="2.7777777777777779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layout>
            <c:manualLayout>
              <c:x val="-2.7777777777777779E-3"/>
              <c:y val="2.31481481481480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layout>
            <c:manualLayout>
              <c:x val="0"/>
              <c:y val="-3.70370370370371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layout>
            <c:manualLayout>
              <c:x val="-5.663683088672565E-2"/>
              <c:y val="-9.36442769843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none"/>
        </c:marker>
        <c:dLbl>
          <c:idx val="0"/>
          <c:layout>
            <c:manualLayout>
              <c:x val="-8.3333333333333332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00046903543466"/>
          <c:y val="7.1468950398911338E-2"/>
          <c:w val="0.78362588955096113"/>
          <c:h val="0.67383146731331489"/>
        </c:manualLayout>
      </c:layout>
      <c:lineChart>
        <c:grouping val="standard"/>
        <c:varyColors val="0"/>
        <c:ser>
          <c:idx val="0"/>
          <c:order val="0"/>
          <c:tx>
            <c:strRef>
              <c:f>dashboard!$Q$3</c:f>
              <c:strCache>
                <c:ptCount val="1"/>
                <c:pt idx="0">
                  <c:v>Total</c:v>
                </c:pt>
              </c:strCache>
            </c:strRef>
          </c:tx>
          <c:spPr>
            <a:ln w="28575" cap="rnd">
              <a:solidFill>
                <a:schemeClr val="accent6"/>
              </a:solidFill>
              <a:round/>
            </a:ln>
            <a:effectLst/>
          </c:spPr>
          <c:marker>
            <c:symbol val="none"/>
          </c:marker>
          <c:dPt>
            <c:idx val="0"/>
            <c:marker>
              <c:symbol val="none"/>
            </c:marker>
            <c:bubble3D val="0"/>
            <c:spPr>
              <a:ln w="28575" cap="rnd">
                <a:solidFill>
                  <a:schemeClr val="accent6"/>
                </a:solidFill>
                <a:round/>
              </a:ln>
              <a:effectLst/>
            </c:spPr>
            <c:extLst>
              <c:ext xmlns:c16="http://schemas.microsoft.com/office/drawing/2014/chart" uri="{C3380CC4-5D6E-409C-BE32-E72D297353CC}">
                <c16:uniqueId val="{00000007-0553-4196-A3FD-939AC2F3E432}"/>
              </c:ext>
            </c:extLst>
          </c:dPt>
          <c:dPt>
            <c:idx val="1"/>
            <c:marker>
              <c:symbol val="none"/>
            </c:marker>
            <c:bubble3D val="0"/>
            <c:spPr>
              <a:ln w="28575" cap="rnd">
                <a:solidFill>
                  <a:schemeClr val="accent6"/>
                </a:solidFill>
                <a:round/>
              </a:ln>
              <a:effectLst/>
            </c:spPr>
            <c:extLst>
              <c:ext xmlns:c16="http://schemas.microsoft.com/office/drawing/2014/chart" uri="{C3380CC4-5D6E-409C-BE32-E72D297353CC}">
                <c16:uniqueId val="{00000006-0553-4196-A3FD-939AC2F3E432}"/>
              </c:ext>
            </c:extLst>
          </c:dPt>
          <c:dPt>
            <c:idx val="2"/>
            <c:marker>
              <c:symbol val="none"/>
            </c:marker>
            <c:bubble3D val="0"/>
            <c:spPr>
              <a:ln w="28575" cap="rnd">
                <a:solidFill>
                  <a:schemeClr val="accent6"/>
                </a:solidFill>
                <a:round/>
              </a:ln>
              <a:effectLst/>
            </c:spPr>
            <c:extLst>
              <c:ext xmlns:c16="http://schemas.microsoft.com/office/drawing/2014/chart" uri="{C3380CC4-5D6E-409C-BE32-E72D297353CC}">
                <c16:uniqueId val="{00000005-0553-4196-A3FD-939AC2F3E432}"/>
              </c:ext>
            </c:extLst>
          </c:dPt>
          <c:dPt>
            <c:idx val="3"/>
            <c:marker>
              <c:symbol val="none"/>
            </c:marker>
            <c:bubble3D val="0"/>
            <c:spPr>
              <a:ln w="28575" cap="rnd">
                <a:solidFill>
                  <a:schemeClr val="accent6"/>
                </a:solidFill>
                <a:round/>
              </a:ln>
              <a:effectLst/>
            </c:spPr>
            <c:extLst>
              <c:ext xmlns:c16="http://schemas.microsoft.com/office/drawing/2014/chart" uri="{C3380CC4-5D6E-409C-BE32-E72D297353CC}">
                <c16:uniqueId val="{00000002-0553-4196-A3FD-939AC2F3E432}"/>
              </c:ext>
            </c:extLst>
          </c:dPt>
          <c:dPt>
            <c:idx val="4"/>
            <c:marker>
              <c:symbol val="none"/>
            </c:marker>
            <c:bubble3D val="0"/>
            <c:spPr>
              <a:ln w="28575" cap="rnd">
                <a:solidFill>
                  <a:schemeClr val="accent6"/>
                </a:solidFill>
                <a:round/>
              </a:ln>
              <a:effectLst/>
            </c:spPr>
            <c:extLst>
              <c:ext xmlns:c16="http://schemas.microsoft.com/office/drawing/2014/chart" uri="{C3380CC4-5D6E-409C-BE32-E72D297353CC}">
                <c16:uniqueId val="{00000003-0553-4196-A3FD-939AC2F3E432}"/>
              </c:ext>
            </c:extLst>
          </c:dPt>
          <c:dPt>
            <c:idx val="5"/>
            <c:marker>
              <c:symbol val="none"/>
            </c:marker>
            <c:bubble3D val="0"/>
            <c:spPr>
              <a:ln w="28575" cap="rnd">
                <a:solidFill>
                  <a:schemeClr val="accent6"/>
                </a:solidFill>
                <a:round/>
              </a:ln>
              <a:effectLst/>
            </c:spPr>
            <c:extLst>
              <c:ext xmlns:c16="http://schemas.microsoft.com/office/drawing/2014/chart" uri="{C3380CC4-5D6E-409C-BE32-E72D297353CC}">
                <c16:uniqueId val="{00000004-0553-4196-A3FD-939AC2F3E432}"/>
              </c:ext>
            </c:extLst>
          </c:dPt>
          <c:dPt>
            <c:idx val="6"/>
            <c:marker>
              <c:symbol val="none"/>
            </c:marker>
            <c:bubble3D val="0"/>
            <c:spPr>
              <a:ln w="28575" cap="rnd">
                <a:solidFill>
                  <a:schemeClr val="accent6"/>
                </a:solidFill>
                <a:round/>
              </a:ln>
              <a:effectLst/>
            </c:spPr>
            <c:extLst>
              <c:ext xmlns:c16="http://schemas.microsoft.com/office/drawing/2014/chart" uri="{C3380CC4-5D6E-409C-BE32-E72D297353CC}">
                <c16:uniqueId val="{00000008-0553-4196-A3FD-939AC2F3E432}"/>
              </c:ext>
            </c:extLst>
          </c:dPt>
          <c:dLbls>
            <c:dLbl>
              <c:idx val="0"/>
              <c:layout>
                <c:manualLayout>
                  <c:x val="-5.663683088672565E-2"/>
                  <c:y val="-9.36442769843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553-4196-A3FD-939AC2F3E432}"/>
                </c:ext>
              </c:extLst>
            </c:dLbl>
            <c:dLbl>
              <c:idx val="1"/>
              <c:layout>
                <c:manualLayout>
                  <c:x val="0"/>
                  <c:y val="-3.7037037037037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553-4196-A3FD-939AC2F3E432}"/>
                </c:ext>
              </c:extLst>
            </c:dLbl>
            <c:dLbl>
              <c:idx val="2"/>
              <c:layout>
                <c:manualLayout>
                  <c:x val="-2.7777777777777779E-3"/>
                  <c:y val="2.31481481481480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553-4196-A3FD-939AC2F3E432}"/>
                </c:ext>
              </c:extLst>
            </c:dLbl>
            <c:dLbl>
              <c:idx val="3"/>
              <c:layout>
                <c:manualLayout>
                  <c:x val="0"/>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553-4196-A3FD-939AC2F3E432}"/>
                </c:ext>
              </c:extLst>
            </c:dLbl>
            <c:dLbl>
              <c:idx val="4"/>
              <c:layout>
                <c:manualLayout>
                  <c:x val="5.5555555555554534E-3"/>
                  <c:y val="-7.87037037037036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53-4196-A3FD-939AC2F3E432}"/>
                </c:ext>
              </c:extLst>
            </c:dLbl>
            <c:dLbl>
              <c:idx val="5"/>
              <c:layout>
                <c:manualLayout>
                  <c:x val="2.7777777777777779E-3"/>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553-4196-A3FD-939AC2F3E432}"/>
                </c:ext>
              </c:extLst>
            </c:dLbl>
            <c:dLbl>
              <c:idx val="6"/>
              <c:layout>
                <c:manualLayout>
                  <c:x val="-8.3333333333333332E-3"/>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553-4196-A3FD-939AC2F3E43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dashboard!$P$4:$P$10</c:f>
              <c:strCache>
                <c:ptCount val="7"/>
                <c:pt idx="0">
                  <c:v>18-30</c:v>
                </c:pt>
                <c:pt idx="1">
                  <c:v>31-40</c:v>
                </c:pt>
                <c:pt idx="2">
                  <c:v>41-50</c:v>
                </c:pt>
                <c:pt idx="3">
                  <c:v>51-60</c:v>
                </c:pt>
                <c:pt idx="4">
                  <c:v>61-70</c:v>
                </c:pt>
                <c:pt idx="5">
                  <c:v>71-80</c:v>
                </c:pt>
                <c:pt idx="6">
                  <c:v>81-90</c:v>
                </c:pt>
              </c:strCache>
            </c:strRef>
          </c:cat>
          <c:val>
            <c:numRef>
              <c:f>dashboard!$Q$4:$Q$10</c:f>
              <c:numCache>
                <c:formatCode>General</c:formatCode>
                <c:ptCount val="7"/>
                <c:pt idx="0">
                  <c:v>47</c:v>
                </c:pt>
                <c:pt idx="1">
                  <c:v>37</c:v>
                </c:pt>
                <c:pt idx="2">
                  <c:v>26</c:v>
                </c:pt>
                <c:pt idx="3">
                  <c:v>32</c:v>
                </c:pt>
                <c:pt idx="4">
                  <c:v>29</c:v>
                </c:pt>
                <c:pt idx="5">
                  <c:v>32</c:v>
                </c:pt>
                <c:pt idx="6">
                  <c:v>37</c:v>
                </c:pt>
              </c:numCache>
            </c:numRef>
          </c:val>
          <c:smooth val="0"/>
          <c:extLst>
            <c:ext xmlns:c16="http://schemas.microsoft.com/office/drawing/2014/chart" uri="{C3380CC4-5D6E-409C-BE32-E72D297353CC}">
              <c16:uniqueId val="{00000000-0553-4196-A3FD-939AC2F3E432}"/>
            </c:ext>
          </c:extLst>
        </c:ser>
        <c:dLbls>
          <c:showLegendKey val="0"/>
          <c:showVal val="0"/>
          <c:showCatName val="0"/>
          <c:showSerName val="0"/>
          <c:showPercent val="0"/>
          <c:showBubbleSize val="0"/>
        </c:dLbls>
        <c:smooth val="0"/>
        <c:axId val="1090053711"/>
        <c:axId val="1090062031"/>
      </c:lineChart>
      <c:catAx>
        <c:axId val="1090053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062031"/>
        <c:crosses val="autoZero"/>
        <c:auto val="1"/>
        <c:lblAlgn val="ctr"/>
        <c:lblOffset val="100"/>
        <c:noMultiLvlLbl val="0"/>
      </c:catAx>
      <c:valAx>
        <c:axId val="1090062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00537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[messy_clinic_appointmentshjhjhjhjhj88888888888888888888888888888(AutoRecovered).xlsx]dashboard!PivotTable12</c:name>
    <c:fmtId val="2"/>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tint val="77000"/>
            </a:schemeClr>
          </a:solidFill>
          <a:ln w="19050">
            <a:solidFill>
              <a:schemeClr val="lt1"/>
            </a:solidFill>
          </a:ln>
          <a:effectLst/>
        </c:spPr>
        <c:dLbl>
          <c:idx val="0"/>
          <c:layout>
            <c:manualLayout>
              <c:x val="0.1959050490701062"/>
              <c:y val="-0.15234410371584345"/>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6">
              <a:shade val="76000"/>
            </a:schemeClr>
          </a:solidFill>
          <a:ln w="19050">
            <a:solidFill>
              <a:schemeClr val="lt1"/>
            </a:solidFill>
          </a:ln>
          <a:effectLst/>
        </c:spPr>
        <c:dLbl>
          <c:idx val="0"/>
          <c:layout>
            <c:manualLayout>
              <c:x val="-0.15005338990625017"/>
              <c:y val="0.1794055142361107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6">
              <a:tint val="77000"/>
            </a:schemeClr>
          </a:solidFill>
          <a:ln w="19050">
            <a:solidFill>
              <a:schemeClr val="lt1"/>
            </a:solidFill>
          </a:ln>
          <a:effectLst/>
        </c:spPr>
        <c:dLbl>
          <c:idx val="0"/>
          <c:layout>
            <c:manualLayout>
              <c:x val="0.1959050490701062"/>
              <c:y val="-0.15234410371584345"/>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6">
              <a:shade val="76000"/>
            </a:schemeClr>
          </a:solidFill>
          <a:ln w="19050">
            <a:solidFill>
              <a:schemeClr val="lt1"/>
            </a:solidFill>
          </a:ln>
          <a:effectLst/>
        </c:spPr>
        <c:dLbl>
          <c:idx val="0"/>
          <c:layout>
            <c:manualLayout>
              <c:x val="-0.15005338990625017"/>
              <c:y val="0.1794055142361107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6">
              <a:tint val="77000"/>
            </a:schemeClr>
          </a:solidFill>
          <a:ln w="19050">
            <a:solidFill>
              <a:schemeClr val="lt1"/>
            </a:solidFill>
          </a:ln>
          <a:effectLst/>
        </c:spPr>
        <c:dLbl>
          <c:idx val="0"/>
          <c:layout>
            <c:manualLayout>
              <c:x val="0.1959050490701062"/>
              <c:y val="-0.15234410371584345"/>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6">
              <a:shade val="76000"/>
            </a:schemeClr>
          </a:solidFill>
          <a:ln w="19050">
            <a:solidFill>
              <a:schemeClr val="lt1"/>
            </a:solidFill>
          </a:ln>
          <a:effectLst/>
        </c:spPr>
        <c:dLbl>
          <c:idx val="0"/>
          <c:layout>
            <c:manualLayout>
              <c:x val="-0.15005338990625017"/>
              <c:y val="0.1794055142361107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6">
              <a:tint val="77000"/>
            </a:schemeClr>
          </a:solidFill>
          <a:ln w="19050">
            <a:solidFill>
              <a:schemeClr val="lt1"/>
            </a:solidFill>
          </a:ln>
          <a:effectLst/>
        </c:spPr>
        <c:dLbl>
          <c:idx val="0"/>
          <c:layout>
            <c:manualLayout>
              <c:x val="0.1959050490701062"/>
              <c:y val="-0.15234410371584345"/>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6">
              <a:shade val="76000"/>
            </a:schemeClr>
          </a:solidFill>
          <a:ln w="19050">
            <a:solidFill>
              <a:schemeClr val="lt1"/>
            </a:solidFill>
          </a:ln>
          <a:effectLst/>
        </c:spPr>
        <c:dLbl>
          <c:idx val="0"/>
          <c:layout>
            <c:manualLayout>
              <c:x val="-0.15005338990625017"/>
              <c:y val="0.1794055142361107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dashboard!$T$5</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6-606D-452B-A904-A2C767FEA96B}"/>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8-606D-452B-A904-A2C767FEA96B}"/>
              </c:ext>
            </c:extLst>
          </c:dPt>
          <c:dLbls>
            <c:dLbl>
              <c:idx val="0"/>
              <c:layout>
                <c:manualLayout>
                  <c:x val="0.1959050490701062"/>
                  <c:y val="-0.1523441037158434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06D-452B-A904-A2C767FEA96B}"/>
                </c:ext>
              </c:extLst>
            </c:dLbl>
            <c:dLbl>
              <c:idx val="1"/>
              <c:layout>
                <c:manualLayout>
                  <c:x val="-0.15005338990625017"/>
                  <c:y val="0.1794055142361107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06D-452B-A904-A2C767FEA96B}"/>
                </c:ext>
              </c:extLst>
            </c:dLbl>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dashboard!$S$6:$S$7</c:f>
              <c:strCache>
                <c:ptCount val="2"/>
                <c:pt idx="0">
                  <c:v>Yes</c:v>
                </c:pt>
                <c:pt idx="1">
                  <c:v>No</c:v>
                </c:pt>
              </c:strCache>
            </c:strRef>
          </c:cat>
          <c:val>
            <c:numRef>
              <c:f>dashboard!$T$6:$T$7</c:f>
              <c:numCache>
                <c:formatCode>0.00%</c:formatCode>
                <c:ptCount val="2"/>
                <c:pt idx="0">
                  <c:v>0.5083333333333333</c:v>
                </c:pt>
                <c:pt idx="1">
                  <c:v>0.49166666666666664</c:v>
                </c:pt>
              </c:numCache>
            </c:numRef>
          </c:val>
          <c:extLst>
            <c:ext xmlns:c16="http://schemas.microsoft.com/office/drawing/2014/chart" uri="{C3380CC4-5D6E-409C-BE32-E72D297353CC}">
              <c16:uniqueId val="{00000009-606D-452B-A904-A2C767FEA96B}"/>
            </c:ext>
          </c:extLst>
        </c:ser>
        <c:dLbls>
          <c:showLegendKey val="0"/>
          <c:showVal val="0"/>
          <c:showCatName val="0"/>
          <c:showSerName val="0"/>
          <c:showPercent val="0"/>
          <c:showBubbleSize val="0"/>
          <c:showLeaderLines val="1"/>
        </c:dLbls>
        <c:firstSliceAng val="0"/>
        <c:holeSize val="50"/>
      </c:doughnutChart>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[messy_clinic_appointmentshjhjhjhjhj88888888888888888888888888888(AutoRecovered).xlsx]dashboard!PivotTable15</c:name>
    <c:fmtId val="0"/>
  </c:pivotSource>
  <c:chart>
    <c:autoTitleDeleted val="1"/>
    <c:pivotFmts>
      <c:pivotFmt>
        <c:idx val="0"/>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dashboard!$AZ$16</c:f>
              <c:strCache>
                <c:ptCount val="1"/>
                <c:pt idx="0">
                  <c:v>Total</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dashboard!$AY$17:$AY$19</c:f>
              <c:strCache>
                <c:ptCount val="3"/>
                <c:pt idx="0">
                  <c:v>Female</c:v>
                </c:pt>
                <c:pt idx="1">
                  <c:v>Male</c:v>
                </c:pt>
                <c:pt idx="2">
                  <c:v>Unknown</c:v>
                </c:pt>
              </c:strCache>
            </c:strRef>
          </c:cat>
          <c:val>
            <c:numRef>
              <c:f>dashboard!$AZ$17:$AZ$19</c:f>
              <c:numCache>
                <c:formatCode>0.00%</c:formatCode>
                <c:ptCount val="3"/>
                <c:pt idx="0">
                  <c:v>0.51249999999999996</c:v>
                </c:pt>
                <c:pt idx="1">
                  <c:v>0.44583333333333336</c:v>
                </c:pt>
                <c:pt idx="2">
                  <c:v>4.1666666666666664E-2</c:v>
                </c:pt>
              </c:numCache>
            </c:numRef>
          </c:val>
          <c:extLst>
            <c:ext xmlns:c16="http://schemas.microsoft.com/office/drawing/2014/chart" uri="{C3380CC4-5D6E-409C-BE32-E72D297353CC}">
              <c16:uniqueId val="{00000000-6DA7-46B5-8E3B-4785DB8560D1}"/>
            </c:ext>
          </c:extLst>
        </c:ser>
        <c:dLbls>
          <c:showLegendKey val="0"/>
          <c:showVal val="0"/>
          <c:showCatName val="0"/>
          <c:showSerName val="0"/>
          <c:showPercent val="0"/>
          <c:showBubbleSize val="0"/>
        </c:dLbls>
        <c:gapWidth val="219"/>
        <c:overlap val="-27"/>
        <c:axId val="474397391"/>
        <c:axId val="474401551"/>
      </c:barChart>
      <c:catAx>
        <c:axId val="47439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4401551"/>
        <c:crosses val="autoZero"/>
        <c:auto val="1"/>
        <c:lblAlgn val="ctr"/>
        <c:lblOffset val="100"/>
        <c:noMultiLvlLbl val="0"/>
      </c:catAx>
      <c:valAx>
        <c:axId val="474401551"/>
        <c:scaling>
          <c:orientation val="minMax"/>
        </c:scaling>
        <c:delete val="1"/>
        <c:axPos val="l"/>
        <c:numFmt formatCode="0.00%" sourceLinked="1"/>
        <c:majorTickMark val="none"/>
        <c:minorTickMark val="none"/>
        <c:tickLblPos val="nextTo"/>
        <c:crossAx val="474397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32</xdr:col>
      <xdr:colOff>115963</xdr:colOff>
      <xdr:row>4</xdr:row>
      <xdr:rowOff>149085</xdr:rowOff>
    </xdr:from>
    <xdr:to>
      <xdr:col>34</xdr:col>
      <xdr:colOff>77862</xdr:colOff>
      <xdr:row>7</xdr:row>
      <xdr:rowOff>130035</xdr:rowOff>
    </xdr:to>
    <xdr:sp macro="" textlink="">
      <xdr:nvSpPr>
        <xdr:cNvPr id="14" name="Rectangle: Rounded Corners 13">
          <a:extLst>
            <a:ext uri="{FF2B5EF4-FFF2-40B4-BE49-F238E27FC236}">
              <a16:creationId xmlns:a16="http://schemas.microsoft.com/office/drawing/2014/main" id="{7F755F67-B203-4444-974C-B941DFFFC651}"/>
            </a:ext>
          </a:extLst>
        </xdr:cNvPr>
        <xdr:cNvSpPr/>
      </xdr:nvSpPr>
      <xdr:spPr>
        <a:xfrm>
          <a:off x="25527006" y="919368"/>
          <a:ext cx="1187726" cy="552450"/>
        </a:xfrm>
        <a:prstGeom prst="roundRect">
          <a:avLst/>
        </a:prstGeom>
        <a:solidFill>
          <a:schemeClr val="accent6">
            <a:lumMod val="20000"/>
            <a:lumOff val="80000"/>
          </a:schemeClr>
        </a:solid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604630</xdr:colOff>
      <xdr:row>11</xdr:row>
      <xdr:rowOff>24847</xdr:rowOff>
    </xdr:from>
    <xdr:to>
      <xdr:col>30</xdr:col>
      <xdr:colOff>372717</xdr:colOff>
      <xdr:row>12</xdr:row>
      <xdr:rowOff>91108</xdr:rowOff>
    </xdr:to>
    <xdr:sp macro="" textlink="">
      <xdr:nvSpPr>
        <xdr:cNvPr id="22" name="Rectangle 21">
          <a:extLst>
            <a:ext uri="{FF2B5EF4-FFF2-40B4-BE49-F238E27FC236}">
              <a16:creationId xmlns:a16="http://schemas.microsoft.com/office/drawing/2014/main" id="{D0539FA3-3481-4B79-AE5E-1E849A7FC490}"/>
            </a:ext>
          </a:extLst>
        </xdr:cNvPr>
        <xdr:cNvSpPr/>
      </xdr:nvSpPr>
      <xdr:spPr>
        <a:xfrm>
          <a:off x="20499456" y="2128630"/>
          <a:ext cx="4058478" cy="256761"/>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612370</xdr:colOff>
      <xdr:row>12</xdr:row>
      <xdr:rowOff>91109</xdr:rowOff>
    </xdr:from>
    <xdr:to>
      <xdr:col>30</xdr:col>
      <xdr:colOff>372718</xdr:colOff>
      <xdr:row>21</xdr:row>
      <xdr:rowOff>182215</xdr:rowOff>
    </xdr:to>
    <xdr:graphicFrame macro="">
      <xdr:nvGraphicFramePr>
        <xdr:cNvPr id="2" name="Chart 1">
          <a:extLst>
            <a:ext uri="{FF2B5EF4-FFF2-40B4-BE49-F238E27FC236}">
              <a16:creationId xmlns:a16="http://schemas.microsoft.com/office/drawing/2014/main" id="{3CD0FE10-D7C1-4F98-84E2-4F31B623A1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7039</xdr:colOff>
      <xdr:row>23</xdr:row>
      <xdr:rowOff>82826</xdr:rowOff>
    </xdr:from>
    <xdr:to>
      <xdr:col>30</xdr:col>
      <xdr:colOff>372718</xdr:colOff>
      <xdr:row>32</xdr:row>
      <xdr:rowOff>176620</xdr:rowOff>
    </xdr:to>
    <xdr:graphicFrame macro="">
      <xdr:nvGraphicFramePr>
        <xdr:cNvPr id="3" name="Chart 2">
          <a:extLst>
            <a:ext uri="{FF2B5EF4-FFF2-40B4-BE49-F238E27FC236}">
              <a16:creationId xmlns:a16="http://schemas.microsoft.com/office/drawing/2014/main" id="{FA0749AA-FB6C-4B11-A6D4-4ABB72A4E6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39</xdr:col>
      <xdr:colOff>24847</xdr:colOff>
      <xdr:row>11</xdr:row>
      <xdr:rowOff>124653</xdr:rowOff>
    </xdr:from>
    <xdr:to>
      <xdr:col>40</xdr:col>
      <xdr:colOff>654326</xdr:colOff>
      <xdr:row>16</xdr:row>
      <xdr:rowOff>67503</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959B62A6-EE7B-49D9-8BC1-7F4816A07EB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9593760" y="2228436"/>
              <a:ext cx="1813892"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35</xdr:col>
      <xdr:colOff>260092</xdr:colOff>
      <xdr:row>4</xdr:row>
      <xdr:rowOff>152391</xdr:rowOff>
    </xdr:from>
    <xdr:to>
      <xdr:col>37</xdr:col>
      <xdr:colOff>147449</xdr:colOff>
      <xdr:row>7</xdr:row>
      <xdr:rowOff>133341</xdr:rowOff>
    </xdr:to>
    <xdr:sp macro="" textlink="">
      <xdr:nvSpPr>
        <xdr:cNvPr id="17" name="Rectangle: Rounded Corners 16">
          <a:extLst>
            <a:ext uri="{FF2B5EF4-FFF2-40B4-BE49-F238E27FC236}">
              <a16:creationId xmlns:a16="http://schemas.microsoft.com/office/drawing/2014/main" id="{D6D85B9A-A073-425B-96F2-D15BED9B4340}"/>
            </a:ext>
          </a:extLst>
        </xdr:cNvPr>
        <xdr:cNvSpPr/>
      </xdr:nvSpPr>
      <xdr:spPr>
        <a:xfrm>
          <a:off x="27509875" y="922674"/>
          <a:ext cx="1187726" cy="552450"/>
        </a:xfrm>
        <a:prstGeom prst="roundRect">
          <a:avLst/>
        </a:prstGeom>
        <a:solidFill>
          <a:schemeClr val="accent6">
            <a:lumMod val="20000"/>
            <a:lumOff val="80000"/>
          </a:schemeClr>
        </a:solid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35</xdr:col>
      <xdr:colOff>323863</xdr:colOff>
      <xdr:row>5</xdr:row>
      <xdr:rowOff>7038</xdr:rowOff>
    </xdr:from>
    <xdr:ext cx="1335024" cy="264560"/>
    <xdr:sp macro="" textlink="">
      <xdr:nvSpPr>
        <xdr:cNvPr id="18" name="TextBox 17">
          <a:extLst>
            <a:ext uri="{FF2B5EF4-FFF2-40B4-BE49-F238E27FC236}">
              <a16:creationId xmlns:a16="http://schemas.microsoft.com/office/drawing/2014/main" id="{E0992693-6AA9-4079-BDA7-19A64BD714B4}"/>
            </a:ext>
          </a:extLst>
        </xdr:cNvPr>
        <xdr:cNvSpPr txBox="1"/>
      </xdr:nvSpPr>
      <xdr:spPr>
        <a:xfrm>
          <a:off x="27573646" y="967821"/>
          <a:ext cx="133502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Follow Up</a:t>
          </a:r>
          <a:r>
            <a:rPr lang="en-US" sz="1100" b="1" baseline="0">
              <a:solidFill>
                <a:schemeClr val="tx1"/>
              </a:solidFill>
              <a:effectLst/>
              <a:latin typeface="+mn-lt"/>
              <a:ea typeface="+mn-ea"/>
              <a:cs typeface="+mn-cs"/>
            </a:rPr>
            <a:t> Rate</a:t>
          </a:r>
          <a:endParaRPr lang="en-US" sz="1200">
            <a:effectLst/>
          </a:endParaRPr>
        </a:p>
      </xdr:txBody>
    </xdr:sp>
    <xdr:clientData/>
  </xdr:oneCellAnchor>
  <xdr:oneCellAnchor>
    <xdr:from>
      <xdr:col>35</xdr:col>
      <xdr:colOff>507731</xdr:colOff>
      <xdr:row>6</xdr:row>
      <xdr:rowOff>48451</xdr:rowOff>
    </xdr:from>
    <xdr:ext cx="828675" cy="264560"/>
    <xdr:sp macro="" textlink="$T$6">
      <xdr:nvSpPr>
        <xdr:cNvPr id="19" name="TextBox 18">
          <a:extLst>
            <a:ext uri="{FF2B5EF4-FFF2-40B4-BE49-F238E27FC236}">
              <a16:creationId xmlns:a16="http://schemas.microsoft.com/office/drawing/2014/main" id="{8B360C02-B1D9-4878-ACD8-297942C640DE}"/>
            </a:ext>
          </a:extLst>
        </xdr:cNvPr>
        <xdr:cNvSpPr txBox="1"/>
      </xdr:nvSpPr>
      <xdr:spPr>
        <a:xfrm>
          <a:off x="27757514" y="1199734"/>
          <a:ext cx="8286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32FE608-4D67-43DE-BF1C-1D57D6BB3BA1}" type="TxLink">
            <a:rPr lang="en-US" sz="1100" b="1" i="0" u="none" strike="noStrike">
              <a:ln>
                <a:noFill/>
              </a:ln>
              <a:solidFill>
                <a:srgbClr val="000000"/>
              </a:solidFill>
              <a:latin typeface="Calibri"/>
              <a:cs typeface="Calibri"/>
            </a:rPr>
            <a:pPr/>
            <a:t>50.83%</a:t>
          </a:fld>
          <a:endParaRPr lang="en-US" sz="1050" b="1">
            <a:ln>
              <a:noFill/>
            </a:ln>
            <a:solidFill>
              <a:schemeClr val="tx1"/>
            </a:solidFill>
          </a:endParaRPr>
        </a:p>
      </xdr:txBody>
    </xdr:sp>
    <xdr:clientData/>
  </xdr:oneCellAnchor>
  <xdr:twoCellAnchor>
    <xdr:from>
      <xdr:col>30</xdr:col>
      <xdr:colOff>372718</xdr:colOff>
      <xdr:row>23</xdr:row>
      <xdr:rowOff>74548</xdr:rowOff>
    </xdr:from>
    <xdr:to>
      <xdr:col>38</xdr:col>
      <xdr:colOff>364436</xdr:colOff>
      <xdr:row>32</xdr:row>
      <xdr:rowOff>170560</xdr:rowOff>
    </xdr:to>
    <xdr:graphicFrame macro="">
      <xdr:nvGraphicFramePr>
        <xdr:cNvPr id="20" name="Chart 19">
          <a:extLst>
            <a:ext uri="{FF2B5EF4-FFF2-40B4-BE49-F238E27FC236}">
              <a16:creationId xmlns:a16="http://schemas.microsoft.com/office/drawing/2014/main" id="{C1EAADD1-9DCD-46B8-A7E2-0E2E1C9D9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23</xdr:col>
      <xdr:colOff>546652</xdr:colOff>
      <xdr:row>11</xdr:row>
      <xdr:rowOff>16565</xdr:rowOff>
    </xdr:from>
    <xdr:ext cx="2832652" cy="452432"/>
    <xdr:sp macro="" textlink="">
      <xdr:nvSpPr>
        <xdr:cNvPr id="21" name="TextBox 20">
          <a:extLst>
            <a:ext uri="{FF2B5EF4-FFF2-40B4-BE49-F238E27FC236}">
              <a16:creationId xmlns:a16="http://schemas.microsoft.com/office/drawing/2014/main" id="{D3286ED9-170A-4FF1-9206-CCFD4842161A}"/>
            </a:ext>
          </a:extLst>
        </xdr:cNvPr>
        <xdr:cNvSpPr txBox="1"/>
      </xdr:nvSpPr>
      <xdr:spPr>
        <a:xfrm>
          <a:off x="20441478" y="2120348"/>
          <a:ext cx="2832652" cy="452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1" i="0" baseline="0">
              <a:solidFill>
                <a:schemeClr val="tx1">
                  <a:lumMod val="50000"/>
                  <a:lumOff val="50000"/>
                </a:schemeClr>
              </a:solidFill>
              <a:effectLst/>
              <a:latin typeface="+mn-lt"/>
              <a:ea typeface="+mn-ea"/>
              <a:cs typeface="+mn-cs"/>
            </a:rPr>
            <a:t>Department VS Patients</a:t>
          </a:r>
          <a:endParaRPr lang="en-US" sz="2800" b="1">
            <a:solidFill>
              <a:schemeClr val="tx1">
                <a:lumMod val="50000"/>
                <a:lumOff val="50000"/>
              </a:schemeClr>
            </a:solidFill>
            <a:effectLst/>
          </a:endParaRPr>
        </a:p>
        <a:p>
          <a:endParaRPr lang="en-US" sz="1100"/>
        </a:p>
      </xdr:txBody>
    </xdr:sp>
    <xdr:clientData/>
  </xdr:oneCellAnchor>
  <xdr:twoCellAnchor>
    <xdr:from>
      <xdr:col>24</xdr:col>
      <xdr:colOff>3306</xdr:colOff>
      <xdr:row>22</xdr:row>
      <xdr:rowOff>11602</xdr:rowOff>
    </xdr:from>
    <xdr:to>
      <xdr:col>30</xdr:col>
      <xdr:colOff>384306</xdr:colOff>
      <xdr:row>23</xdr:row>
      <xdr:rowOff>77863</xdr:rowOff>
    </xdr:to>
    <xdr:sp macro="" textlink="">
      <xdr:nvSpPr>
        <xdr:cNvPr id="23" name="Rectangle 22">
          <a:extLst>
            <a:ext uri="{FF2B5EF4-FFF2-40B4-BE49-F238E27FC236}">
              <a16:creationId xmlns:a16="http://schemas.microsoft.com/office/drawing/2014/main" id="{2FE0DDB7-1B91-4E1B-869B-E1DEF969F973}"/>
            </a:ext>
          </a:extLst>
        </xdr:cNvPr>
        <xdr:cNvSpPr/>
      </xdr:nvSpPr>
      <xdr:spPr>
        <a:xfrm>
          <a:off x="20262567" y="4202602"/>
          <a:ext cx="4058478" cy="256761"/>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23</xdr:col>
      <xdr:colOff>574811</xdr:colOff>
      <xdr:row>21</xdr:row>
      <xdr:rowOff>185531</xdr:rowOff>
    </xdr:from>
    <xdr:ext cx="2832652" cy="280205"/>
    <xdr:sp macro="" textlink="">
      <xdr:nvSpPr>
        <xdr:cNvPr id="24" name="TextBox 23">
          <a:extLst>
            <a:ext uri="{FF2B5EF4-FFF2-40B4-BE49-F238E27FC236}">
              <a16:creationId xmlns:a16="http://schemas.microsoft.com/office/drawing/2014/main" id="{CFD44568-DD41-4993-8395-1CA005275208}"/>
            </a:ext>
          </a:extLst>
        </xdr:cNvPr>
        <xdr:cNvSpPr txBox="1"/>
      </xdr:nvSpPr>
      <xdr:spPr>
        <a:xfrm>
          <a:off x="20221159" y="4186031"/>
          <a:ext cx="283265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1" i="0" baseline="0">
              <a:solidFill>
                <a:schemeClr val="tx1">
                  <a:lumMod val="50000"/>
                  <a:lumOff val="50000"/>
                </a:schemeClr>
              </a:solidFill>
              <a:effectLst/>
              <a:latin typeface="+mn-lt"/>
              <a:ea typeface="+mn-ea"/>
              <a:cs typeface="+mn-cs"/>
            </a:rPr>
            <a:t>Department VS Billing</a:t>
          </a:r>
          <a:endParaRPr lang="en-US" sz="1100"/>
        </a:p>
      </xdr:txBody>
    </xdr:sp>
    <xdr:clientData/>
  </xdr:oneCellAnchor>
  <xdr:twoCellAnchor>
    <xdr:from>
      <xdr:col>30</xdr:col>
      <xdr:colOff>387622</xdr:colOff>
      <xdr:row>21</xdr:row>
      <xdr:rowOff>188838</xdr:rowOff>
    </xdr:from>
    <xdr:to>
      <xdr:col>38</xdr:col>
      <xdr:colOff>381006</xdr:colOff>
      <xdr:row>23</xdr:row>
      <xdr:rowOff>64599</xdr:rowOff>
    </xdr:to>
    <xdr:sp macro="" textlink="">
      <xdr:nvSpPr>
        <xdr:cNvPr id="28" name="Rectangle 27">
          <a:extLst>
            <a:ext uri="{FF2B5EF4-FFF2-40B4-BE49-F238E27FC236}">
              <a16:creationId xmlns:a16="http://schemas.microsoft.com/office/drawing/2014/main" id="{64FC112D-D13B-40B2-B30C-5D65FC3251CE}"/>
            </a:ext>
          </a:extLst>
        </xdr:cNvPr>
        <xdr:cNvSpPr/>
      </xdr:nvSpPr>
      <xdr:spPr>
        <a:xfrm>
          <a:off x="24514447" y="4189338"/>
          <a:ext cx="4946384" cy="256761"/>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30</xdr:col>
      <xdr:colOff>354492</xdr:colOff>
      <xdr:row>21</xdr:row>
      <xdr:rowOff>188843</xdr:rowOff>
    </xdr:from>
    <xdr:ext cx="2832652" cy="280205"/>
    <xdr:sp macro="" textlink="">
      <xdr:nvSpPr>
        <xdr:cNvPr id="29" name="TextBox 28">
          <a:extLst>
            <a:ext uri="{FF2B5EF4-FFF2-40B4-BE49-F238E27FC236}">
              <a16:creationId xmlns:a16="http://schemas.microsoft.com/office/drawing/2014/main" id="{25D5985A-98BE-45BC-8269-20523854CD10}"/>
            </a:ext>
          </a:extLst>
        </xdr:cNvPr>
        <xdr:cNvSpPr txBox="1"/>
      </xdr:nvSpPr>
      <xdr:spPr>
        <a:xfrm>
          <a:off x="24291231" y="4189343"/>
          <a:ext cx="283265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1" i="0" baseline="0">
              <a:solidFill>
                <a:schemeClr val="tx1">
                  <a:lumMod val="50000"/>
                  <a:lumOff val="50000"/>
                </a:schemeClr>
              </a:solidFill>
              <a:effectLst/>
              <a:latin typeface="+mn-lt"/>
              <a:ea typeface="+mn-ea"/>
              <a:cs typeface="+mn-cs"/>
            </a:rPr>
            <a:t>Age Range VS Patients</a:t>
          </a:r>
          <a:endParaRPr lang="en-US" sz="1100"/>
        </a:p>
      </xdr:txBody>
    </xdr:sp>
    <xdr:clientData/>
  </xdr:oneCellAnchor>
  <xdr:twoCellAnchor>
    <xdr:from>
      <xdr:col>30</xdr:col>
      <xdr:colOff>380998</xdr:colOff>
      <xdr:row>12</xdr:row>
      <xdr:rowOff>99392</xdr:rowOff>
    </xdr:from>
    <xdr:to>
      <xdr:col>35</xdr:col>
      <xdr:colOff>581025</xdr:colOff>
      <xdr:row>21</xdr:row>
      <xdr:rowOff>173934</xdr:rowOff>
    </xdr:to>
    <xdr:graphicFrame macro="">
      <xdr:nvGraphicFramePr>
        <xdr:cNvPr id="31" name="Chart 30">
          <a:extLst>
            <a:ext uri="{FF2B5EF4-FFF2-40B4-BE49-F238E27FC236}">
              <a16:creationId xmlns:a16="http://schemas.microsoft.com/office/drawing/2014/main" id="{8F03FEC6-DE8C-40C4-95EF-E538E32C3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397558</xdr:colOff>
      <xdr:row>11</xdr:row>
      <xdr:rowOff>24847</xdr:rowOff>
    </xdr:from>
    <xdr:to>
      <xdr:col>35</xdr:col>
      <xdr:colOff>554935</xdr:colOff>
      <xdr:row>12</xdr:row>
      <xdr:rowOff>91108</xdr:rowOff>
    </xdr:to>
    <xdr:sp macro="" textlink="">
      <xdr:nvSpPr>
        <xdr:cNvPr id="33" name="Rectangle 32">
          <a:extLst>
            <a:ext uri="{FF2B5EF4-FFF2-40B4-BE49-F238E27FC236}">
              <a16:creationId xmlns:a16="http://schemas.microsoft.com/office/drawing/2014/main" id="{5555AC23-1190-4243-A626-F23877647818}"/>
            </a:ext>
          </a:extLst>
        </xdr:cNvPr>
        <xdr:cNvSpPr/>
      </xdr:nvSpPr>
      <xdr:spPr>
        <a:xfrm>
          <a:off x="24582775" y="2128630"/>
          <a:ext cx="3221943" cy="256761"/>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30</xdr:col>
      <xdr:colOff>356151</xdr:colOff>
      <xdr:row>11</xdr:row>
      <xdr:rowOff>16565</xdr:rowOff>
    </xdr:from>
    <xdr:ext cx="2832652" cy="452432"/>
    <xdr:sp macro="" textlink="">
      <xdr:nvSpPr>
        <xdr:cNvPr id="34" name="TextBox 33">
          <a:extLst>
            <a:ext uri="{FF2B5EF4-FFF2-40B4-BE49-F238E27FC236}">
              <a16:creationId xmlns:a16="http://schemas.microsoft.com/office/drawing/2014/main" id="{D4A4D414-FFBB-4EA8-A079-3048C690DB44}"/>
            </a:ext>
          </a:extLst>
        </xdr:cNvPr>
        <xdr:cNvSpPr txBox="1"/>
      </xdr:nvSpPr>
      <xdr:spPr>
        <a:xfrm>
          <a:off x="24541368" y="2120348"/>
          <a:ext cx="2832652" cy="452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1" i="0" baseline="0">
              <a:solidFill>
                <a:schemeClr val="tx1">
                  <a:lumMod val="50000"/>
                  <a:lumOff val="50000"/>
                </a:schemeClr>
              </a:solidFill>
              <a:effectLst/>
              <a:latin typeface="+mn-lt"/>
              <a:ea typeface="+mn-ea"/>
              <a:cs typeface="+mn-cs"/>
            </a:rPr>
            <a:t>Follow Up Rate</a:t>
          </a:r>
          <a:endParaRPr lang="en-US" sz="2800" b="1">
            <a:solidFill>
              <a:schemeClr val="tx1">
                <a:lumMod val="50000"/>
                <a:lumOff val="50000"/>
              </a:schemeClr>
            </a:solidFill>
            <a:effectLst/>
          </a:endParaRPr>
        </a:p>
        <a:p>
          <a:endParaRPr lang="en-US" sz="1100"/>
        </a:p>
      </xdr:txBody>
    </xdr:sp>
    <xdr:clientData/>
  </xdr:oneCellAnchor>
  <xdr:oneCellAnchor>
    <xdr:from>
      <xdr:col>41</xdr:col>
      <xdr:colOff>581025</xdr:colOff>
      <xdr:row>10</xdr:row>
      <xdr:rowOff>142875</xdr:rowOff>
    </xdr:from>
    <xdr:ext cx="184731" cy="264560"/>
    <xdr:sp macro="" textlink="">
      <xdr:nvSpPr>
        <xdr:cNvPr id="35" name="TextBox 34">
          <a:extLst>
            <a:ext uri="{FF2B5EF4-FFF2-40B4-BE49-F238E27FC236}">
              <a16:creationId xmlns:a16="http://schemas.microsoft.com/office/drawing/2014/main" id="{7034ABD4-89D7-4A4B-8639-65237A214969}"/>
            </a:ext>
          </a:extLst>
        </xdr:cNvPr>
        <xdr:cNvSpPr txBox="1"/>
      </xdr:nvSpPr>
      <xdr:spPr>
        <a:xfrm>
          <a:off x="31489650" y="2047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50</xdr:col>
      <xdr:colOff>19050</xdr:colOff>
      <xdr:row>11</xdr:row>
      <xdr:rowOff>9525</xdr:rowOff>
    </xdr:from>
    <xdr:ext cx="184731" cy="264560"/>
    <xdr:sp macro="" textlink="">
      <xdr:nvSpPr>
        <xdr:cNvPr id="36" name="TextBox 35">
          <a:extLst>
            <a:ext uri="{FF2B5EF4-FFF2-40B4-BE49-F238E27FC236}">
              <a16:creationId xmlns:a16="http://schemas.microsoft.com/office/drawing/2014/main" id="{0DC48469-3D53-4066-BBAA-E85224416C84}"/>
            </a:ext>
          </a:extLst>
        </xdr:cNvPr>
        <xdr:cNvSpPr txBox="1"/>
      </xdr:nvSpPr>
      <xdr:spPr>
        <a:xfrm>
          <a:off x="32546925" y="210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38</xdr:col>
      <xdr:colOff>293222</xdr:colOff>
      <xdr:row>4</xdr:row>
      <xdr:rowOff>144112</xdr:rowOff>
    </xdr:from>
    <xdr:to>
      <xdr:col>39</xdr:col>
      <xdr:colOff>1075100</xdr:colOff>
      <xdr:row>7</xdr:row>
      <xdr:rowOff>125062</xdr:rowOff>
    </xdr:to>
    <xdr:sp macro="" textlink="">
      <xdr:nvSpPr>
        <xdr:cNvPr id="37" name="Rectangle: Rounded Corners 36">
          <a:extLst>
            <a:ext uri="{FF2B5EF4-FFF2-40B4-BE49-F238E27FC236}">
              <a16:creationId xmlns:a16="http://schemas.microsoft.com/office/drawing/2014/main" id="{072E6012-BE3F-440A-B911-13A95066AB78}"/>
            </a:ext>
          </a:extLst>
        </xdr:cNvPr>
        <xdr:cNvSpPr/>
      </xdr:nvSpPr>
      <xdr:spPr>
        <a:xfrm>
          <a:off x="29456287" y="914395"/>
          <a:ext cx="1187726" cy="552450"/>
        </a:xfrm>
        <a:prstGeom prst="roundRect">
          <a:avLst/>
        </a:prstGeom>
        <a:solidFill>
          <a:schemeClr val="accent6">
            <a:lumMod val="20000"/>
            <a:lumOff val="80000"/>
          </a:schemeClr>
        </a:solid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544997</xdr:colOff>
      <xdr:row>4</xdr:row>
      <xdr:rowOff>139562</xdr:rowOff>
    </xdr:from>
    <xdr:to>
      <xdr:col>31</xdr:col>
      <xdr:colOff>181264</xdr:colOff>
      <xdr:row>7</xdr:row>
      <xdr:rowOff>130037</xdr:rowOff>
    </xdr:to>
    <xdr:grpSp>
      <xdr:nvGrpSpPr>
        <xdr:cNvPr id="47" name="Group 46">
          <a:extLst>
            <a:ext uri="{FF2B5EF4-FFF2-40B4-BE49-F238E27FC236}">
              <a16:creationId xmlns:a16="http://schemas.microsoft.com/office/drawing/2014/main" id="{C1177D53-8A58-49E1-A958-76A12834191D}"/>
            </a:ext>
          </a:extLst>
        </xdr:cNvPr>
        <xdr:cNvGrpSpPr/>
      </xdr:nvGrpSpPr>
      <xdr:grpSpPr>
        <a:xfrm>
          <a:off x="21665649" y="909845"/>
          <a:ext cx="3313745" cy="561975"/>
          <a:chOff x="21036171" y="951258"/>
          <a:chExt cx="3313745" cy="561975"/>
        </a:xfrm>
      </xdr:grpSpPr>
      <xdr:grpSp>
        <xdr:nvGrpSpPr>
          <xdr:cNvPr id="45" name="Group 44">
            <a:extLst>
              <a:ext uri="{FF2B5EF4-FFF2-40B4-BE49-F238E27FC236}">
                <a16:creationId xmlns:a16="http://schemas.microsoft.com/office/drawing/2014/main" id="{FD7AFCDB-A6C6-4858-9EDF-08C4CDCFEEE4}"/>
              </a:ext>
            </a:extLst>
          </xdr:cNvPr>
          <xdr:cNvGrpSpPr/>
        </xdr:nvGrpSpPr>
        <xdr:grpSpPr>
          <a:xfrm>
            <a:off x="21036171" y="951258"/>
            <a:ext cx="3051725" cy="561975"/>
            <a:chOff x="21036171" y="951258"/>
            <a:chExt cx="3051725" cy="561975"/>
          </a:xfrm>
        </xdr:grpSpPr>
        <xdr:grpSp>
          <xdr:nvGrpSpPr>
            <xdr:cNvPr id="39" name="Group 38">
              <a:extLst>
                <a:ext uri="{FF2B5EF4-FFF2-40B4-BE49-F238E27FC236}">
                  <a16:creationId xmlns:a16="http://schemas.microsoft.com/office/drawing/2014/main" id="{9723B26F-63A2-4708-A770-40CE306B9428}"/>
                </a:ext>
              </a:extLst>
            </xdr:cNvPr>
            <xdr:cNvGrpSpPr/>
          </xdr:nvGrpSpPr>
          <xdr:grpSpPr>
            <a:xfrm>
              <a:off x="21036171" y="951258"/>
              <a:ext cx="1333499" cy="552450"/>
              <a:chOff x="21036171" y="951258"/>
              <a:chExt cx="1333499" cy="552450"/>
            </a:xfrm>
          </xdr:grpSpPr>
          <xdr:grpSp>
            <xdr:nvGrpSpPr>
              <xdr:cNvPr id="38" name="Group 37">
                <a:extLst>
                  <a:ext uri="{FF2B5EF4-FFF2-40B4-BE49-F238E27FC236}">
                    <a16:creationId xmlns:a16="http://schemas.microsoft.com/office/drawing/2014/main" id="{74737B82-34CF-4423-A3AB-5E83123512A6}"/>
                  </a:ext>
                </a:extLst>
              </xdr:cNvPr>
              <xdr:cNvGrpSpPr/>
            </xdr:nvGrpSpPr>
            <xdr:grpSpPr>
              <a:xfrm>
                <a:off x="21036171" y="951258"/>
                <a:ext cx="1333499" cy="552450"/>
                <a:chOff x="21036171" y="951258"/>
                <a:chExt cx="1333499" cy="552450"/>
              </a:xfrm>
            </xdr:grpSpPr>
            <xdr:sp macro="" textlink="">
              <xdr:nvSpPr>
                <xdr:cNvPr id="7" name="Rectangle: Rounded Corners 6">
                  <a:extLst>
                    <a:ext uri="{FF2B5EF4-FFF2-40B4-BE49-F238E27FC236}">
                      <a16:creationId xmlns:a16="http://schemas.microsoft.com/office/drawing/2014/main" id="{15787FED-79B3-4F91-9105-630C86BDCC62}"/>
                    </a:ext>
                  </a:extLst>
                </xdr:cNvPr>
                <xdr:cNvSpPr/>
              </xdr:nvSpPr>
              <xdr:spPr>
                <a:xfrm>
                  <a:off x="21065988" y="951258"/>
                  <a:ext cx="1187726" cy="552450"/>
                </a:xfrm>
                <a:prstGeom prst="roundRect">
                  <a:avLst/>
                </a:prstGeom>
                <a:solidFill>
                  <a:schemeClr val="accent6">
                    <a:lumMod val="20000"/>
                    <a:lumOff val="80000"/>
                  </a:schemeClr>
                </a:solid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29FAECFD-AD10-4273-B494-5A0BBF0CA954}"/>
                    </a:ext>
                  </a:extLst>
                </xdr:cNvPr>
                <xdr:cNvSpPr txBox="1"/>
              </xdr:nvSpPr>
              <xdr:spPr>
                <a:xfrm>
                  <a:off x="21036171" y="989357"/>
                  <a:ext cx="1333499"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50" b="1"/>
                    <a:t>Total Appointments</a:t>
                  </a:r>
                </a:p>
              </xdr:txBody>
            </xdr:sp>
          </xdr:grpSp>
          <xdr:sp macro="" textlink="$N$10">
            <xdr:nvSpPr>
              <xdr:cNvPr id="9" name="TextBox 8">
                <a:extLst>
                  <a:ext uri="{FF2B5EF4-FFF2-40B4-BE49-F238E27FC236}">
                    <a16:creationId xmlns:a16="http://schemas.microsoft.com/office/drawing/2014/main" id="{A818F44C-6CD5-47FC-8CCF-1959E123C4BA}"/>
                  </a:ext>
                </a:extLst>
              </xdr:cNvPr>
              <xdr:cNvSpPr txBox="1"/>
            </xdr:nvSpPr>
            <xdr:spPr>
              <a:xfrm>
                <a:off x="21421725" y="1189383"/>
                <a:ext cx="51890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9AA8F6F-CC70-4DFA-8BF5-12883A925261}" type="TxLink">
                  <a:rPr lang="en-US" sz="1200" b="1" i="0" u="none" strike="noStrike">
                    <a:ln>
                      <a:noFill/>
                    </a:ln>
                    <a:solidFill>
                      <a:schemeClr val="tx1"/>
                    </a:solidFill>
                    <a:latin typeface="Calibri"/>
                    <a:cs typeface="Calibri"/>
                  </a:rPr>
                  <a:pPr/>
                  <a:t>240</a:t>
                </a:fld>
                <a:endParaRPr lang="en-US" sz="1100" b="1">
                  <a:ln>
                    <a:noFill/>
                  </a:ln>
                  <a:solidFill>
                    <a:schemeClr val="tx1"/>
                  </a:solidFill>
                </a:endParaRPr>
              </a:p>
            </xdr:txBody>
          </xdr:sp>
        </xdr:grpSp>
        <xdr:sp macro="" textlink="">
          <xdr:nvSpPr>
            <xdr:cNvPr id="11" name="Rectangle: Rounded Corners 10">
              <a:extLst>
                <a:ext uri="{FF2B5EF4-FFF2-40B4-BE49-F238E27FC236}">
                  <a16:creationId xmlns:a16="http://schemas.microsoft.com/office/drawing/2014/main" id="{7F8F6EA3-8DDE-443F-BCF9-931654D3ECE5}"/>
                </a:ext>
              </a:extLst>
            </xdr:cNvPr>
            <xdr:cNvSpPr/>
          </xdr:nvSpPr>
          <xdr:spPr>
            <a:xfrm>
              <a:off x="22900170" y="960783"/>
              <a:ext cx="1187726" cy="552450"/>
            </a:xfrm>
            <a:prstGeom prst="roundRect">
              <a:avLst/>
            </a:prstGeom>
            <a:solidFill>
              <a:schemeClr val="accent6">
                <a:lumMod val="20000"/>
                <a:lumOff val="80000"/>
              </a:schemeClr>
            </a:solid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46" name="Group 45">
            <a:extLst>
              <a:ext uri="{FF2B5EF4-FFF2-40B4-BE49-F238E27FC236}">
                <a16:creationId xmlns:a16="http://schemas.microsoft.com/office/drawing/2014/main" id="{80B7DCBD-881D-403A-A830-91C2B66084CD}"/>
              </a:ext>
            </a:extLst>
          </xdr:cNvPr>
          <xdr:cNvGrpSpPr/>
        </xdr:nvGrpSpPr>
        <xdr:grpSpPr>
          <a:xfrm>
            <a:off x="23014892" y="972793"/>
            <a:ext cx="1335024" cy="471625"/>
            <a:chOff x="23014892" y="972793"/>
            <a:chExt cx="1335024" cy="471625"/>
          </a:xfrm>
        </xdr:grpSpPr>
        <xdr:sp macro="" textlink="$M$10">
          <xdr:nvSpPr>
            <xdr:cNvPr id="13" name="TextBox 12">
              <a:extLst>
                <a:ext uri="{FF2B5EF4-FFF2-40B4-BE49-F238E27FC236}">
                  <a16:creationId xmlns:a16="http://schemas.microsoft.com/office/drawing/2014/main" id="{9ACEB631-D48D-4435-9EED-D1336E777864}"/>
                </a:ext>
              </a:extLst>
            </xdr:cNvPr>
            <xdr:cNvSpPr txBox="1"/>
          </xdr:nvSpPr>
          <xdr:spPr>
            <a:xfrm>
              <a:off x="23111791" y="1179858"/>
              <a:ext cx="8286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8B4408A-B5A1-4778-B3AD-93E74E1D7E7E}" type="TxLink">
                <a:rPr lang="en-US" sz="1100" b="1" i="0" u="none" strike="noStrike">
                  <a:ln>
                    <a:noFill/>
                  </a:ln>
                  <a:solidFill>
                    <a:srgbClr val="000000"/>
                  </a:solidFill>
                  <a:latin typeface="Calibri"/>
                  <a:cs typeface="Calibri"/>
                </a:rPr>
                <a:pPr/>
                <a:t>58232.89</a:t>
              </a:fld>
              <a:endParaRPr lang="en-US" sz="1050" b="1">
                <a:ln>
                  <a:noFill/>
                </a:ln>
                <a:solidFill>
                  <a:schemeClr val="tx1"/>
                </a:solidFill>
              </a:endParaRPr>
            </a:p>
          </xdr:txBody>
        </xdr:sp>
        <xdr:sp macro="" textlink="">
          <xdr:nvSpPr>
            <xdr:cNvPr id="43" name="TextBox 42">
              <a:extLst>
                <a:ext uri="{FF2B5EF4-FFF2-40B4-BE49-F238E27FC236}">
                  <a16:creationId xmlns:a16="http://schemas.microsoft.com/office/drawing/2014/main" id="{A9C6B82B-65EA-40B0-BBED-BA66F3185C55}"/>
                </a:ext>
              </a:extLst>
            </xdr:cNvPr>
            <xdr:cNvSpPr txBox="1"/>
          </xdr:nvSpPr>
          <xdr:spPr>
            <a:xfrm>
              <a:off x="23014892" y="972793"/>
              <a:ext cx="133502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tx1"/>
                  </a:solidFill>
                  <a:effectLst/>
                  <a:latin typeface="+mn-lt"/>
                  <a:ea typeface="+mn-ea"/>
                  <a:cs typeface="+mn-cs"/>
                </a:rPr>
                <a:t>Total</a:t>
              </a:r>
              <a:r>
                <a:rPr lang="en-US" sz="1200" b="1" baseline="0">
                  <a:solidFill>
                    <a:schemeClr val="tx1"/>
                  </a:solidFill>
                  <a:effectLst/>
                  <a:latin typeface="+mn-lt"/>
                  <a:ea typeface="+mn-ea"/>
                  <a:cs typeface="+mn-cs"/>
                </a:rPr>
                <a:t> Billing</a:t>
              </a:r>
              <a:endParaRPr lang="en-US" sz="1400">
                <a:effectLst/>
              </a:endParaRPr>
            </a:p>
          </xdr:txBody>
        </xdr:sp>
      </xdr:grpSp>
    </xdr:grpSp>
    <xdr:clientData/>
  </xdr:twoCellAnchor>
  <xdr:twoCellAnchor>
    <xdr:from>
      <xdr:col>32</xdr:col>
      <xdr:colOff>149927</xdr:colOff>
      <xdr:row>5</xdr:row>
      <xdr:rowOff>15321</xdr:rowOff>
    </xdr:from>
    <xdr:to>
      <xdr:col>34</xdr:col>
      <xdr:colOff>259124</xdr:colOff>
      <xdr:row>7</xdr:row>
      <xdr:rowOff>102635</xdr:rowOff>
    </xdr:to>
    <xdr:grpSp>
      <xdr:nvGrpSpPr>
        <xdr:cNvPr id="51" name="Group 50">
          <a:extLst>
            <a:ext uri="{FF2B5EF4-FFF2-40B4-BE49-F238E27FC236}">
              <a16:creationId xmlns:a16="http://schemas.microsoft.com/office/drawing/2014/main" id="{E8A760B3-27D9-4647-BEFD-CAC4F6C5A240}"/>
            </a:ext>
          </a:extLst>
        </xdr:cNvPr>
        <xdr:cNvGrpSpPr/>
      </xdr:nvGrpSpPr>
      <xdr:grpSpPr>
        <a:xfrm>
          <a:off x="25560970" y="976104"/>
          <a:ext cx="1335024" cy="468314"/>
          <a:chOff x="25560970" y="976104"/>
          <a:chExt cx="1335024" cy="468314"/>
        </a:xfrm>
      </xdr:grpSpPr>
      <xdr:sp macro="" textlink="$M$12">
        <xdr:nvSpPr>
          <xdr:cNvPr id="16" name="TextBox 15">
            <a:extLst>
              <a:ext uri="{FF2B5EF4-FFF2-40B4-BE49-F238E27FC236}">
                <a16:creationId xmlns:a16="http://schemas.microsoft.com/office/drawing/2014/main" id="{BCC3857E-8A33-4284-A61F-5C620F828680}"/>
              </a:ext>
            </a:extLst>
          </xdr:cNvPr>
          <xdr:cNvSpPr txBox="1"/>
        </xdr:nvSpPr>
        <xdr:spPr>
          <a:xfrm>
            <a:off x="25807782" y="1179858"/>
            <a:ext cx="8286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5309DBC-2D3C-4EBE-A1A8-F93AAB663FE2}" type="TxLink">
              <a:rPr lang="en-US" sz="1100" b="1" i="0" u="none" strike="noStrike">
                <a:ln>
                  <a:noFill/>
                </a:ln>
                <a:solidFill>
                  <a:srgbClr val="000000"/>
                </a:solidFill>
                <a:latin typeface="Calibri"/>
                <a:cs typeface="Calibri"/>
              </a:rPr>
              <a:pPr/>
              <a:t>252.09</a:t>
            </a:fld>
            <a:endParaRPr lang="en-US" sz="1050" b="1">
              <a:ln>
                <a:noFill/>
              </a:ln>
              <a:solidFill>
                <a:schemeClr val="tx1"/>
              </a:solidFill>
            </a:endParaRPr>
          </a:p>
        </xdr:txBody>
      </xdr:sp>
      <xdr:sp macro="" textlink="">
        <xdr:nvSpPr>
          <xdr:cNvPr id="50" name="TextBox 49">
            <a:extLst>
              <a:ext uri="{FF2B5EF4-FFF2-40B4-BE49-F238E27FC236}">
                <a16:creationId xmlns:a16="http://schemas.microsoft.com/office/drawing/2014/main" id="{FB2D5D29-6F99-4421-A8C6-36FFD4BE25E0}"/>
              </a:ext>
            </a:extLst>
          </xdr:cNvPr>
          <xdr:cNvSpPr txBox="1"/>
        </xdr:nvSpPr>
        <xdr:spPr>
          <a:xfrm>
            <a:off x="25560970" y="976104"/>
            <a:ext cx="133502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tx1"/>
                </a:solidFill>
                <a:effectLst/>
                <a:latin typeface="+mn-lt"/>
                <a:ea typeface="+mn-ea"/>
                <a:cs typeface="+mn-cs"/>
              </a:rPr>
              <a:t>Average</a:t>
            </a:r>
            <a:r>
              <a:rPr lang="en-US" sz="1200" b="1" baseline="0">
                <a:solidFill>
                  <a:schemeClr val="tx1"/>
                </a:solidFill>
                <a:effectLst/>
                <a:latin typeface="+mn-lt"/>
                <a:ea typeface="+mn-ea"/>
                <a:cs typeface="+mn-cs"/>
              </a:rPr>
              <a:t> Billing</a:t>
            </a:r>
            <a:endParaRPr lang="en-US" sz="1400">
              <a:effectLst/>
            </a:endParaRPr>
          </a:p>
        </xdr:txBody>
      </xdr:sp>
    </xdr:grpSp>
    <xdr:clientData/>
  </xdr:twoCellAnchor>
  <xdr:oneCellAnchor>
    <xdr:from>
      <xdr:col>38</xdr:col>
      <xdr:colOff>252633</xdr:colOff>
      <xdr:row>4</xdr:row>
      <xdr:rowOff>184287</xdr:rowOff>
    </xdr:from>
    <xdr:ext cx="1335024" cy="264560"/>
    <xdr:sp macro="" textlink="">
      <xdr:nvSpPr>
        <xdr:cNvPr id="52" name="TextBox 51">
          <a:extLst>
            <a:ext uri="{FF2B5EF4-FFF2-40B4-BE49-F238E27FC236}">
              <a16:creationId xmlns:a16="http://schemas.microsoft.com/office/drawing/2014/main" id="{9269682A-2608-454B-8C48-76FA8DA09171}"/>
            </a:ext>
          </a:extLst>
        </xdr:cNvPr>
        <xdr:cNvSpPr txBox="1"/>
      </xdr:nvSpPr>
      <xdr:spPr>
        <a:xfrm>
          <a:off x="29415698" y="954570"/>
          <a:ext cx="133502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Average Lead Days</a:t>
          </a:r>
          <a:endParaRPr lang="en-US" sz="1200">
            <a:effectLst/>
          </a:endParaRPr>
        </a:p>
      </xdr:txBody>
    </xdr:sp>
    <xdr:clientData/>
  </xdr:oneCellAnchor>
  <xdr:oneCellAnchor>
    <xdr:from>
      <xdr:col>39</xdr:col>
      <xdr:colOff>148271</xdr:colOff>
      <xdr:row>5</xdr:row>
      <xdr:rowOff>179317</xdr:rowOff>
    </xdr:from>
    <xdr:ext cx="1335024" cy="264560"/>
    <xdr:sp macro="" textlink="$AY$12">
      <xdr:nvSpPr>
        <xdr:cNvPr id="53" name="TextBox 52">
          <a:extLst>
            <a:ext uri="{FF2B5EF4-FFF2-40B4-BE49-F238E27FC236}">
              <a16:creationId xmlns:a16="http://schemas.microsoft.com/office/drawing/2014/main" id="{4D469EF0-BF6E-4E79-B57D-C43DE828B7E0}"/>
            </a:ext>
          </a:extLst>
        </xdr:cNvPr>
        <xdr:cNvSpPr txBox="1"/>
      </xdr:nvSpPr>
      <xdr:spPr>
        <a:xfrm>
          <a:off x="29717184" y="1140100"/>
          <a:ext cx="133502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5CF9E09-BA26-42B5-96B4-FCACF18D00A1}" type="TxLink">
            <a:rPr lang="en-US" sz="1100" b="1" i="0" u="none" strike="noStrike">
              <a:solidFill>
                <a:srgbClr val="000000"/>
              </a:solidFill>
              <a:effectLst/>
              <a:latin typeface="Calibri"/>
              <a:cs typeface="Calibri"/>
            </a:rPr>
            <a:pPr/>
            <a:t>355.44</a:t>
          </a:fld>
          <a:endParaRPr lang="en-US" sz="1200" b="1">
            <a:effectLst/>
          </a:endParaRPr>
        </a:p>
      </xdr:txBody>
    </xdr:sp>
    <xdr:clientData/>
  </xdr:oneCellAnchor>
  <xdr:twoCellAnchor>
    <xdr:from>
      <xdr:col>35</xdr:col>
      <xdr:colOff>563213</xdr:colOff>
      <xdr:row>12</xdr:row>
      <xdr:rowOff>99393</xdr:rowOff>
    </xdr:from>
    <xdr:to>
      <xdr:col>38</xdr:col>
      <xdr:colOff>397563</xdr:colOff>
      <xdr:row>21</xdr:row>
      <xdr:rowOff>162341</xdr:rowOff>
    </xdr:to>
    <xdr:graphicFrame macro="">
      <xdr:nvGraphicFramePr>
        <xdr:cNvPr id="54" name="Chart 53">
          <a:extLst>
            <a:ext uri="{FF2B5EF4-FFF2-40B4-BE49-F238E27FC236}">
              <a16:creationId xmlns:a16="http://schemas.microsoft.com/office/drawing/2014/main" id="{BF3077EF-E489-4F5D-975A-98A27083FE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583082</xdr:colOff>
      <xdr:row>11</xdr:row>
      <xdr:rowOff>28162</xdr:rowOff>
    </xdr:from>
    <xdr:to>
      <xdr:col>38</xdr:col>
      <xdr:colOff>389283</xdr:colOff>
      <xdr:row>12</xdr:row>
      <xdr:rowOff>94423</xdr:rowOff>
    </xdr:to>
    <xdr:sp macro="" textlink="">
      <xdr:nvSpPr>
        <xdr:cNvPr id="55" name="Rectangle 54">
          <a:extLst>
            <a:ext uri="{FF2B5EF4-FFF2-40B4-BE49-F238E27FC236}">
              <a16:creationId xmlns:a16="http://schemas.microsoft.com/office/drawing/2014/main" id="{ED54189A-2209-4C52-8DA2-526483986865}"/>
            </a:ext>
          </a:extLst>
        </xdr:cNvPr>
        <xdr:cNvSpPr/>
      </xdr:nvSpPr>
      <xdr:spPr>
        <a:xfrm>
          <a:off x="27832865" y="2131945"/>
          <a:ext cx="1719483" cy="256761"/>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35</xdr:col>
      <xdr:colOff>599655</xdr:colOff>
      <xdr:row>11</xdr:row>
      <xdr:rowOff>28160</xdr:rowOff>
    </xdr:from>
    <xdr:ext cx="2832652" cy="452432"/>
    <xdr:sp macro="" textlink="">
      <xdr:nvSpPr>
        <xdr:cNvPr id="56" name="TextBox 55">
          <a:extLst>
            <a:ext uri="{FF2B5EF4-FFF2-40B4-BE49-F238E27FC236}">
              <a16:creationId xmlns:a16="http://schemas.microsoft.com/office/drawing/2014/main" id="{765D155C-1059-42E7-ADDA-BA2D857A5CD5}"/>
            </a:ext>
          </a:extLst>
        </xdr:cNvPr>
        <xdr:cNvSpPr txBox="1"/>
      </xdr:nvSpPr>
      <xdr:spPr>
        <a:xfrm>
          <a:off x="27849438" y="2131943"/>
          <a:ext cx="2832652" cy="452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1" i="0" baseline="0">
              <a:solidFill>
                <a:schemeClr val="tx1">
                  <a:lumMod val="50000"/>
                  <a:lumOff val="50000"/>
                </a:schemeClr>
              </a:solidFill>
              <a:effectLst/>
              <a:latin typeface="+mn-lt"/>
              <a:ea typeface="+mn-ea"/>
              <a:cs typeface="+mn-cs"/>
            </a:rPr>
            <a:t>Gender Percent</a:t>
          </a:r>
          <a:endParaRPr lang="en-US" sz="2800" b="1">
            <a:solidFill>
              <a:schemeClr val="tx1">
                <a:lumMod val="50000"/>
                <a:lumOff val="50000"/>
              </a:schemeClr>
            </a:solidFill>
            <a:effectLst/>
          </a:endParaRPr>
        </a:p>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har" refreshedDate="46313.609509953705" createdVersion="7" refreshedVersion="7" minRefreshableVersion="3" recordCount="1000" xr:uid="{8B111AAE-3CDD-4AA6-801A-64FD545C4A18}">
  <cacheSource type="worksheet">
    <worksheetSource name="Table2"/>
  </cacheSource>
  <cacheFields count="13">
    <cacheField name="patient_id" numFmtId="0">
      <sharedItems containsSemiMixedTypes="0" containsString="0" containsNumber="1" containsInteger="1" minValue="1000" maxValue="1100"/>
    </cacheField>
    <cacheField name="patient_name" numFmtId="0">
      <sharedItems/>
    </cacheField>
    <cacheField name="age" numFmtId="0">
      <sharedItems containsSemiMixedTypes="0" containsString="0" containsNumber="1" containsInteger="1" minValue="18" maxValue="90" count="73">
        <n v="76"/>
        <n v="69"/>
        <n v="79"/>
        <n v="47"/>
        <n v="45"/>
        <n v="78"/>
        <n v="22"/>
        <n v="57"/>
        <n v="54"/>
        <n v="68"/>
        <n v="61"/>
        <n v="70"/>
        <n v="36"/>
        <n v="23"/>
        <n v="72"/>
        <n v="66"/>
        <n v="81"/>
        <n v="90"/>
        <n v="56"/>
        <n v="88"/>
        <n v="32"/>
        <n v="34"/>
        <n v="20"/>
        <n v="86"/>
        <n v="42"/>
        <n v="18"/>
        <n v="82"/>
        <n v="67"/>
        <n v="46"/>
        <n v="26"/>
        <n v="19"/>
        <n v="37"/>
        <n v="84"/>
        <n v="55"/>
        <n v="50"/>
        <n v="35"/>
        <n v="29"/>
        <n v="49"/>
        <n v="64"/>
        <n v="30"/>
        <n v="62"/>
        <n v="63"/>
        <n v="48"/>
        <n v="87"/>
        <n v="58"/>
        <n v="39"/>
        <n v="21"/>
        <n v="60"/>
        <n v="38"/>
        <n v="85"/>
        <n v="28"/>
        <n v="40"/>
        <n v="31"/>
        <n v="65"/>
        <n v="24"/>
        <n v="53"/>
        <n v="80"/>
        <n v="27"/>
        <n v="83"/>
        <n v="73"/>
        <n v="77"/>
        <n v="52"/>
        <n v="25"/>
        <n v="43"/>
        <n v="44"/>
        <n v="59"/>
        <n v="33"/>
        <n v="71"/>
        <n v="75"/>
        <n v="51"/>
        <n v="74"/>
        <n v="41"/>
        <n v="89"/>
      </sharedItems>
    </cacheField>
    <cacheField name="gender" numFmtId="0">
      <sharedItems containsBlank="1" count="3">
        <s v="Female"/>
        <s v="Male"/>
        <m/>
      </sharedItems>
    </cacheField>
    <cacheField name="appointment_date" numFmtId="14">
      <sharedItems containsSemiMixedTypes="0" containsNonDate="0" containsDate="1" containsString="0" minDate="2025-03-26T00:00:00" maxDate="2026-03-27T00:00:00"/>
    </cacheField>
    <cacheField name="booking_date" numFmtId="14">
      <sharedItems containsSemiMixedTypes="0" containsNonDate="0" containsDate="1" containsString="0" minDate="2024-03-26T00:00:00" maxDate="2026-03-08T00:00:00"/>
    </cacheField>
    <cacheField name="doctor" numFmtId="0">
      <sharedItems count="990">
        <s v="Christopher Graham"/>
        <s v="Brandon Lewis"/>
        <s v="Deanna Edwards"/>
        <s v="Karen Parsons"/>
        <s v="Andrea Hernandez"/>
        <s v="Kimberly Fields"/>
        <s v="Jim Jones"/>
        <s v="James Brooks"/>
        <s v="Jamie Hill"/>
        <s v="Tiffany Gates MD"/>
        <s v="Shane Brown"/>
        <s v="Natalie White"/>
        <s v="Amy Olson"/>
        <s v="John Larsen II"/>
        <s v="Andrea Gates"/>
        <s v="Robert Navarro"/>
        <s v="Christopher Bryant"/>
        <s v="Christina Hill"/>
        <s v="Daniel Jacobson"/>
        <s v="Kayla Savage"/>
        <s v="Richard Huang"/>
        <s v="Rebecca Harrington"/>
        <s v="Louis Turner"/>
        <s v="Brianna Garcia"/>
        <s v="Daniel Gutierrez"/>
        <s v="Darren Brooks"/>
        <s v="Janice Taylor"/>
        <s v="David Robles"/>
        <s v="Gregory Kirk"/>
        <s v="Casey Wagner"/>
        <s v="Stephanie Taylor"/>
        <s v="Andrew Thomas"/>
        <s v="Laura Klein"/>
        <s v="Mr. Brian Morton"/>
        <s v="Robert Sparks"/>
        <s v="Thomas Brandt"/>
        <s v="Robert Henry"/>
        <s v="Anthony Jensen"/>
        <s v="Kevin Benton"/>
        <s v="Thomas Hernandez"/>
        <s v="Alison Stanton"/>
        <s v="Christopher Morris"/>
        <s v="Troy Hill"/>
        <s v="Steven Bailey"/>
        <s v="Janet Ray"/>
        <s v="Shane Jackson"/>
        <s v="Diana Baker"/>
        <s v="Brian Osborne DVM"/>
        <s v="Jeremiah Rose"/>
        <s v="Nancy Levine MD"/>
        <s v="Jenny Zuniga"/>
        <s v="Thomas Thomas"/>
        <s v="Christine Calhoun"/>
        <s v="Thomas Bennett"/>
        <s v="Christopher Lee"/>
        <s v="Courtney Knight"/>
        <s v="Charles Lopez"/>
        <s v="Ricky Velazquez"/>
        <s v="Todd Silva"/>
        <s v="Patrick Floyd"/>
        <s v="James Miller"/>
        <s v="Lorraine Figueroa"/>
        <s v="Jamie Sosa"/>
        <s v="Connie Wood"/>
        <s v="Jason Williams"/>
        <s v="Alexis Carter"/>
        <s v="Rebecca Kim"/>
        <s v="Rachel Terry"/>
        <s v="Whitney Hoffman"/>
        <s v="Jennifer Adams"/>
        <s v="Sherri Long"/>
        <s v="Glen Diaz"/>
        <s v="Miss Julie Rodriguez"/>
        <s v="Andrea Cruz"/>
        <s v="Brandi Hale"/>
        <s v="Crystal Mack"/>
        <s v="Drew Bartlett"/>
        <s v="Susan Brown"/>
        <s v="Jim Patterson"/>
        <s v="Heather Everett"/>
        <s v="Katherine Sanders"/>
        <s v="Virginia Lang"/>
        <s v="Samantha Bass MD"/>
        <s v="Melinda Duncan"/>
        <s v="William Key"/>
        <s v="Ronnie Miller"/>
        <s v="Mark Lutz"/>
        <s v="Daniel Le"/>
        <s v="Bryan Mann"/>
        <s v="Randy Garrett"/>
        <s v="Paul Tate"/>
        <s v="Michael Morales"/>
        <s v="Alexa Peterson"/>
        <s v="Brenda Castro"/>
        <s v="Tyler Carter"/>
        <s v="Wayne Graham"/>
        <s v="Kyle Russell"/>
        <s v="Kristopher Collier"/>
        <s v="Robert Mitchell"/>
        <s v="Rita Smith"/>
        <s v="Anthony Cruz"/>
        <s v="Derrick Salazar"/>
        <s v="Theresa Lee"/>
        <s v="Lynn Jones"/>
        <s v="Desiree Giles"/>
        <s v="Nicholas Mcneil"/>
        <s v="Paul Blackburn"/>
        <s v="Elizabeth Obrien"/>
        <s v="Kayla Stein"/>
        <s v="Andrew Gray"/>
        <s v="Ashley Flowers"/>
        <s v="Nicole Chandler"/>
        <s v="Morgan Green"/>
        <s v="Nancy Hernandez"/>
        <s v="William Cochran"/>
        <s v="Vanessa Pittman"/>
        <s v="Melanie Blanchard"/>
        <s v="Breanna Gray"/>
        <s v="George Flores"/>
        <s v="Jennifer Long DDS"/>
        <s v="Chase Clark"/>
        <s v="Michael Gillespie"/>
        <s v="Daniel Bradley"/>
        <s v="Theodore Bean"/>
        <s v="Michael Bond"/>
        <s v="Steve Bush"/>
        <s v="Penny Freeman"/>
        <s v="Willie Williams"/>
        <s v="Douglas Ford"/>
        <s v="Christopher Ferguson"/>
        <s v="Gabrielle Collins"/>
        <s v="Anne Watkins"/>
        <s v="Jennifer Russell"/>
        <s v="Cindy Cox"/>
        <s v="Amy Williams"/>
        <s v="Kimberly Henson"/>
        <s v="Megan Jensen"/>
        <s v="Joshua Sellers"/>
        <s v="Lindsey Fitzpatrick"/>
        <s v="Brandon Moore"/>
        <s v="Cynthia Booker"/>
        <s v="Jacob Kerr"/>
        <s v="Luke Williams"/>
        <s v="Alison Walters"/>
        <s v="Tanya Baxter"/>
        <s v="Cynthia Brown"/>
        <s v="Karen Hunt"/>
        <s v="Alec Hill"/>
        <s v="Colton Williams"/>
        <s v="Brandy Sutton"/>
        <s v="Barbara Chavez"/>
        <s v="Lisa Ho"/>
        <s v="Lance Smith"/>
        <s v="Jerry Lopez"/>
        <s v="Lori Hall"/>
        <s v="Steven Holland"/>
        <s v="Stephanie Wall"/>
        <s v="Damon Hayes"/>
        <s v="Troy Lynch"/>
        <s v="Brandy Graves"/>
        <s v="Tammy Watts"/>
        <s v="Eric Kelly"/>
        <s v="David Cole"/>
        <s v="Matthew Lopez"/>
        <s v="Jennifer Brooks"/>
        <s v="Amber Little"/>
        <s v="Robert Martinez"/>
        <s v="Derrick Cook"/>
        <s v="Dustin Jones"/>
        <s v="Timothy Morgan"/>
        <s v="Stacey Garcia"/>
        <s v="Rachel Richards"/>
        <s v="Jason Gill"/>
        <s v="Jessica Sawyer"/>
        <s v="Tonya Smith"/>
        <s v="Amber Braun"/>
        <s v="Lorraine Schroeder"/>
        <s v="Christina Price"/>
        <s v="Carrie Larsen"/>
        <s v="Ashlee Romero"/>
        <s v="Andrew Meadows"/>
        <s v="Ryan Marsh"/>
        <s v="Debra Castillo"/>
        <s v="Karen White"/>
        <s v="John Yang"/>
        <s v="Christopher Hayes"/>
        <s v="Kyle Dawson"/>
        <s v="Molly Warner"/>
        <s v="Michelle Ortega"/>
        <s v="Shelby Brown"/>
        <s v="Allison Smith"/>
        <s v="Matthew Garrett"/>
        <s v="Jason Gallagher"/>
        <s v="Alice Lucas"/>
        <s v="Kristin Reeves"/>
        <s v="John Lyons"/>
        <s v="Philip Davis"/>
        <s v="Charles Mcmillan"/>
        <s v="Wesley Johnson"/>
        <s v="Shannon Mejia"/>
        <s v="Jeffrey Ashley Jr."/>
        <s v="Kathy Thompson"/>
        <s v="John Miller"/>
        <s v="Gary Bowman"/>
        <s v="Katherine Espinoza"/>
        <s v="Jacob Bender"/>
        <s v="Daniel Evans"/>
        <s v="Dale Herrera"/>
        <s v="Michael Arroyo Jr."/>
        <s v="Gregory West DDS"/>
        <s v="Morgan Ramos"/>
        <s v="Allison Parker"/>
        <s v="William Nichols"/>
        <s v="Marie Clark"/>
        <s v="Grant Parker"/>
        <s v="Jennifer Hernandez"/>
        <s v="Joshua Burnett"/>
        <s v="Amanda Mendoza"/>
        <s v="Christopher Sherman"/>
        <s v="Jeffrey Burns"/>
        <s v="Brandon Morris"/>
        <s v="Sara Booth"/>
        <s v="Amanda Mclaughlin"/>
        <s v="Tony Randall"/>
        <s v="Crystal Medina"/>
        <s v="Patricia Carpenter"/>
        <s v="John Gonzalez"/>
        <s v="Michelle Austin"/>
        <s v="Paul Weaver"/>
        <s v="Amy Chavez"/>
        <s v="Leonard Macias"/>
        <s v="Jenny Wright"/>
        <s v="Todd Oconnor"/>
        <s v="Rachel Howell"/>
        <s v="Dr. Heidi Johnson"/>
        <s v="Robert Stanley"/>
        <s v="Amber Sullivan"/>
        <s v="Joseph Meyers"/>
        <s v="Christine Arnold"/>
        <s v="Michelle Smith"/>
        <s v="Cesar Sanchez"/>
        <s v="Jordan Cole"/>
        <s v="Alexander Lee"/>
        <s v="Christopher Underwood"/>
        <s v="Christopher Wolfe"/>
        <s v="Jennifer Jones"/>
        <s v="Melissa Daniels"/>
        <s v="Ryan White"/>
        <s v="Katrina Johnston"/>
        <s v="Linda Martin"/>
        <s v="Susan Kelley"/>
        <s v="Samuel Stone"/>
        <s v="Mallory Torres"/>
        <s v="Wendy Herrera"/>
        <s v="Kevin Coleman"/>
        <s v="Julie Phillips"/>
        <s v="Tara Montoya"/>
        <s v="Antonio Bryant"/>
        <s v="Marissa Jacobs"/>
        <s v="John Shannon"/>
        <s v="Gregg Bennett"/>
        <s v="Kyle Phillips"/>
        <s v="James Cobb"/>
        <s v="Jacob Townsend"/>
        <s v="Miguel Hayes"/>
        <s v="Peter Wells"/>
        <s v="Karen Martin"/>
        <s v="Rachel Allen"/>
        <s v="Alexander Horton"/>
        <s v="Kathryn Hooper"/>
        <s v="Tamara Thompson"/>
        <s v="Ryan Lopez"/>
        <s v="Kenneth Turner"/>
        <s v="Stacey Miller"/>
        <s v="Isabel Harris"/>
        <s v="Mary Thompson"/>
        <s v="Sarah Holder"/>
        <s v="Michael Duke"/>
        <s v="Daniel Ryan"/>
        <s v="Brenda Booth"/>
        <s v="Joanne Adams"/>
        <s v="Seth Ramirez"/>
        <s v="Kevin Weaver"/>
        <s v="Dr. William Terry"/>
        <s v="Brett Arnold"/>
        <s v="Amanda Flores"/>
        <s v="Shannon Martinez"/>
        <s v="Jeffery Smith"/>
        <s v="Michelle Johnson"/>
        <s v="Michael Schmidt"/>
        <s v="Michelle Jones"/>
        <s v="Regina Cox"/>
        <s v="Gregory Neal"/>
        <s v="Darryl Garcia"/>
        <s v="Steven Mercer"/>
        <s v="John Wolf"/>
        <s v="David Robertson"/>
        <s v="Joseph Park"/>
        <s v="Megan Lopez"/>
        <s v="Robert Davies"/>
        <s v="Christopher Garrett"/>
        <s v="Charles Hess"/>
        <s v="Theresa Osborne"/>
        <s v="Lisa Garcia"/>
        <s v="Denise Hall"/>
        <s v="Morgan Mccoy"/>
        <s v="Timothy Beasley"/>
        <s v="Michelle Carter"/>
        <s v="Christopher Sexton"/>
        <s v="Adam Moore"/>
        <s v="Melissa Schmidt"/>
        <s v="Christine Wilson"/>
        <s v="Barry Bennett"/>
        <s v="Kimberly Douglas"/>
        <s v="Michael Wright"/>
        <s v="Stephanie Douglas"/>
        <s v="Diana Neal"/>
        <s v="Christopher Perez"/>
        <s v="Matthew Mccann"/>
        <s v="Lynn Cruz"/>
        <s v="Jacob Mendoza"/>
        <s v="Brian Bowman"/>
        <s v="Dylan Gibson"/>
        <s v="Lori Reid"/>
        <s v="Dr. Deborah Fitzgerald"/>
        <s v="Alex Richards"/>
        <s v="Jennifer Tanner"/>
        <s v="Alison Castro"/>
        <s v="Megan Austin"/>
        <s v="Rebecca Ward"/>
        <s v="Pamela Wiley"/>
        <s v="Tracey Johnson"/>
        <s v="Ashley Cuevas"/>
        <s v="Amy Dunlap"/>
        <s v="Charles Jackson"/>
        <s v="Jason Morales"/>
        <s v="Logan Cooper"/>
        <s v="Nathaniel Thompson"/>
        <s v="Natalie Turner"/>
        <s v="Kurt Cain"/>
        <s v="Laura Edwards"/>
        <s v="Paula Freeman"/>
        <s v="Linda French"/>
        <s v="Joshua Reed"/>
        <s v="Mrs. Michelle Ramsey"/>
        <s v="Toni Rodriguez"/>
        <s v="Alexa Martin"/>
        <s v="Cynthia Green"/>
        <s v="Tonya Kennedy"/>
        <s v="Cheryl Mullins"/>
        <s v="Carla King"/>
        <s v="Michael Adams"/>
        <s v="Laura Newman"/>
        <s v="Gregory Griffin"/>
        <s v="Ryan Steele"/>
        <s v="Ashley Shaw"/>
        <s v="Catherine Gamble"/>
        <s v="Jean Lawson DDS"/>
        <s v="Victoria Osborne"/>
        <s v="Brooke Ramos"/>
        <s v="Leslie Smith"/>
        <s v="Julie Jacobs"/>
        <s v="John Anderson"/>
        <s v="Kimberly Caldwell"/>
        <s v="Michael Jackson"/>
        <s v="Karen Schmidt"/>
        <s v="Tiffany Melendez"/>
        <s v="Emily Mcintosh"/>
        <s v="Barbara Alvarado"/>
        <s v="James Huber"/>
        <s v="Lisa Fry"/>
        <s v="Amber Avila"/>
        <s v="Nancy Luna"/>
        <s v="Michelle Thomas"/>
        <s v="Derrick Glass"/>
        <s v="Ivan Russo"/>
        <s v="David Love"/>
        <s v="Bonnie Walker"/>
        <s v="Christopher Smith"/>
        <s v="Nicole Bates"/>
        <s v="Kimberly Long"/>
        <s v="Melissa Brown"/>
        <s v="Larry Delgado"/>
        <s v="Jill Kelley"/>
        <s v="Dylan George"/>
        <s v="Michael Alexander"/>
        <s v="Kevin Wilkinson"/>
        <s v="Robert Sanchez"/>
        <s v="Craig Kelly"/>
        <s v="Yvette Johnson"/>
        <s v="Spencer Torres"/>
        <s v="Eric Arellano"/>
        <s v="Tricia Hunt"/>
        <s v="Alexandra Lee"/>
        <s v="Justin Chen"/>
        <s v="Tamara Williams"/>
        <s v="Timothy Barker"/>
        <s v="Natalie Patrick"/>
        <s v="Victor Hernandez"/>
        <s v="Charles Harvey"/>
        <s v="Paul Giles"/>
        <s v="Ralph Fernandez"/>
        <s v="Paul Martinez"/>
        <s v="Rachel Wilson"/>
        <s v="Kevin Vaughan"/>
        <s v="William Schneider"/>
        <s v="Matthew Carlson"/>
        <s v="Bryan Parker"/>
        <s v="James Aguilar"/>
        <s v="Karen Brewer"/>
        <s v="Mary Ward"/>
        <s v="Luis Smith"/>
        <s v="Janet Coffey"/>
        <s v="Ryan Mitchell"/>
        <s v="Scott Allen"/>
        <s v="Henry Hall"/>
        <s v="Danielle Meyer"/>
        <s v="Raymond Bond"/>
        <s v="George Stevens"/>
        <s v="Ryan Chavez"/>
        <s v="Christy Fisher"/>
        <s v="Cody Ortega"/>
        <s v="Sarah Scott"/>
        <s v="Arthur Harris"/>
        <s v="Lauren Clark"/>
        <s v="Matthew Nichols"/>
        <s v="Tracy Johnson"/>
        <s v="Justin Flores"/>
        <s v="Keith Lee"/>
        <s v="Christopher Nelson"/>
        <s v="Joe Rodriguez"/>
        <s v="Terry Welch"/>
        <s v="Angela Thomas"/>
        <s v="Brandon Garcia"/>
        <s v="Amber Clayton"/>
        <s v="Maria Gentry"/>
        <s v="Heather Ortiz"/>
        <s v="Mrs. Amy Miller"/>
        <s v="Michael Bryant"/>
        <s v="Vanessa Ramirez"/>
        <s v="Nancy Young"/>
        <s v="Melinda Smith"/>
        <s v="Bradley Gibson"/>
        <s v="Theresa Simon"/>
        <s v="Randy Vargas"/>
        <s v="Larry Cohen"/>
        <s v="Donald Garcia"/>
        <s v="Carlos Morton"/>
        <s v="Adrienne Roberts"/>
        <s v="Robert Burton"/>
        <s v="Mark Hill"/>
        <s v="Karla Baker"/>
        <s v="Jasmin Holmes"/>
        <s v="Margaret Montoya"/>
        <s v="Richard Torres"/>
        <s v="Jacob Hobbs"/>
        <s v="Marc Copeland"/>
        <s v="Tamara Smith"/>
        <s v="Thomas Wallace"/>
        <s v="Justin Taylor"/>
        <s v="Leonard Campbell"/>
        <s v="Darren Williams"/>
        <s v="Kimberly Pierce"/>
        <s v="Selena Brown"/>
        <s v="Scott Tran"/>
        <s v="Daniel Carlson"/>
        <s v="Jennifer Banks"/>
        <s v="Richard Arias"/>
        <s v="Scott Shannon"/>
        <s v="Joseph King"/>
        <s v="Frank Harrell"/>
        <s v="Sharon Nash"/>
        <s v="Willie Dean"/>
        <s v="Andrew Carroll"/>
        <s v="Sheila Williams"/>
        <s v="Yolanda Richardson"/>
        <s v="Tiffany Shepherd"/>
        <s v="Lisa Taylor"/>
        <s v="Donna Sandoval"/>
        <s v="Brianna Ortega"/>
        <s v="Randall Watts"/>
        <s v="Martha Byrd"/>
        <s v="Thomas Baker"/>
        <s v="Judith Preston"/>
        <s v="Amber King"/>
        <s v="Sandra Sloan"/>
        <s v="Russell Myers"/>
        <s v="Megan Garcia"/>
        <s v="Gloria Perez"/>
        <s v="Eugene Little"/>
        <s v="Audrey Hansen"/>
        <s v="Nathan Quinn"/>
        <s v="Brian Young"/>
        <s v="Tanya Barker"/>
        <s v="Scott King"/>
        <s v="Derek Velazquez"/>
        <s v="Ernest Rodriguez"/>
        <s v="Kara Austin"/>
        <s v="Richard Johnson"/>
        <s v="Jacob Mays"/>
        <s v="Morgan Edwards"/>
        <s v="Helen Davis"/>
        <s v="Rebecca Gross"/>
        <s v="Andrea Walsh"/>
        <s v="Richard Wagner"/>
        <s v="Spencer Booth"/>
        <s v="Benjamin Robinson"/>
        <s v="Heidi Baker"/>
        <s v="Kristen Lopez"/>
        <s v="Reginald Barrett"/>
        <s v="David Espinoza"/>
        <s v="Michael Ross"/>
        <s v="William Moore"/>
        <s v="Jeff Lane"/>
        <s v="Christopher Jones"/>
        <s v="Jordan Shelton"/>
        <s v="April Castillo"/>
        <s v="Natalie Smith"/>
        <s v="Reginald Miller"/>
        <s v="Brian Deleon"/>
        <s v="Francisco Steele"/>
        <s v="Crystal Mueller"/>
        <s v="Lisa Hoffman"/>
        <s v="Chase Ford"/>
        <s v="Henry Moore"/>
        <s v="Chelsea Aguirre"/>
        <s v="Cody Murray"/>
        <s v="Felicia Warner"/>
        <s v="Melissa Bradley"/>
        <s v="Jessica Williams"/>
        <s v="Christopher Schneider"/>
        <s v="Kenneth Long"/>
        <s v="Jennifer Carroll"/>
        <s v="Carl Gomez"/>
        <s v="David Carter"/>
        <s v="Angel Aguilar"/>
        <s v="Jeremy Wilson"/>
        <s v="Ashley Gonzalez"/>
        <s v="Kelsey Hernandez"/>
        <s v="Danny Webster"/>
        <s v="Daniel Dickerson"/>
        <s v="Andrew Johnson"/>
        <s v="Brian Armstrong"/>
        <s v="Jennifer Reyes"/>
        <s v="Joshua Gomez"/>
        <s v="Tamara Rivera"/>
        <s v="Margaret Robinson"/>
        <s v="Wendy Cochran"/>
        <s v="Kelsey Scott"/>
        <s v="Ronald Santos"/>
        <s v="Michael Brown"/>
        <s v="Charles Owens"/>
        <s v="Paul Allen"/>
        <s v="Brian Brown"/>
        <s v="Michael Trevino"/>
        <s v="Austin Stout"/>
        <s v="Patricia White"/>
        <s v="Andre Carter"/>
        <s v="Alexander Jackson"/>
        <s v="Nicole Martinez"/>
        <s v="Mr. Curtis Ortiz"/>
        <s v="Wendy Davis"/>
        <s v="Lauren Rosario"/>
        <s v="April Lyons"/>
        <s v="Justin Rice"/>
        <s v="Aaron Cooper"/>
        <s v="Lauren Whitaker"/>
        <s v="Victoria Lopez"/>
        <s v="Samantha Cameron"/>
        <s v="Michael Black"/>
        <s v="Amanda Boyd"/>
        <s v="Rachel Bright"/>
        <s v="Rachel Wood"/>
        <s v="Jamie Nunez"/>
        <s v="Rebecca Thompson"/>
        <s v="Nancy Wilson"/>
        <s v="Erica Sanchez"/>
        <s v="Steven Walker"/>
        <s v="Janet Schultz"/>
        <s v="Matthew Clark"/>
        <s v="Tara Moore"/>
        <s v="Richard Vega"/>
        <s v="Adam Jensen"/>
        <s v="Terry Jones"/>
        <s v="Mary Jacobson"/>
        <s v="Dakota Fleming"/>
        <s v="Gary Washington"/>
        <s v="Mary Burgess"/>
        <s v="Kim Daniels"/>
        <s v="David Guzman"/>
        <s v="Larry Roberts"/>
        <s v="Andrew Clark"/>
        <s v="Eric Lewis"/>
        <s v="Richard Medina"/>
        <s v="Deborah Snyder"/>
        <s v="Connie Martinez"/>
        <s v="Paul Parker"/>
        <s v="Larry Smith"/>
        <s v="Donna Johnson"/>
        <s v="Jessica Chandler"/>
        <s v="Pamela Cunningham"/>
        <s v="Susan Griffin"/>
        <s v="Thomas Williams"/>
        <s v="Corey King"/>
        <s v="Amy Baxter"/>
        <s v="Deborah Vasquez"/>
        <s v="Jessica Garcia"/>
        <s v="Christian Chapman"/>
        <s v="Mike Miller"/>
        <s v="Felicia Smith"/>
        <s v="Amber Baxter"/>
        <s v="Heather Garcia"/>
        <s v="Antonio Galloway"/>
        <s v="David Colon"/>
        <s v="Michael Jones"/>
        <s v="Yvonne Richardson"/>
        <s v="Robert Foster"/>
        <s v="Leslie Gomez"/>
        <s v="Barbara Owens"/>
        <s v="Darren Jensen"/>
        <s v="Alexander Brown"/>
        <s v="Frederick Nielsen"/>
        <s v="Cynthia Turner"/>
        <s v="Theresa Parker"/>
        <s v="Joseph Gibbs"/>
        <s v="Jackie Brooks"/>
        <s v="Seth Benson"/>
        <s v="Cheryl Adams"/>
        <s v="Emily Barnes"/>
        <s v="Robert Moreno"/>
        <s v="Christina Mitchell"/>
        <s v="Donald Jacobson"/>
        <s v="Kimberly Wilcox"/>
        <s v="Monica Torres"/>
        <s v="Debra Fields"/>
        <s v="Adam Carlson"/>
        <s v="Bryan Newton"/>
        <s v="Kelly Hardin"/>
        <s v="Harold Gray"/>
        <s v="Jose Thomas"/>
        <s v="Jose Jackson"/>
        <s v="Sandra Johns"/>
        <s v="Courtney Yang"/>
        <s v="Henry Kelley"/>
        <s v="Adam Anderson"/>
        <s v="Justin Thomas"/>
        <s v="Guy Vaughn"/>
        <s v="Andrew Terry"/>
        <s v="Michael Murphy"/>
        <s v="Robert Escobar"/>
        <s v="Mia Boyd"/>
        <s v="Paula Mann"/>
        <s v="Mark Barrett"/>
        <s v="Jeremy Burton"/>
        <s v="Christy Lewis"/>
        <s v="Robin Hebert"/>
        <s v="Eric Kennedy"/>
        <s v="David Riley"/>
        <s v="Erin Chandler"/>
        <s v="Zachary Hamilton"/>
        <s v="Robin Medina"/>
        <s v="Justin Smith"/>
        <s v="Misty Higgins"/>
        <s v="Mr. Ricky Le"/>
        <s v="Kenneth Johnson"/>
        <s v="Phillip Shelton"/>
        <s v="John Stewart"/>
        <s v="Mr. James Brown"/>
        <s v="Debra Booker"/>
        <s v="David Schmidt"/>
        <s v="Donald Ferguson"/>
        <s v="Chad Johnson"/>
        <s v="Jonathan Daniels"/>
        <s v="Hunter Powell"/>
        <s v="Kayla Woods"/>
        <s v="Paul Johnson"/>
        <s v="Keith Smith"/>
        <s v="Ruth Shaw"/>
        <s v="Douglas Patton"/>
        <s v="David Bradford"/>
        <s v="Barbara Mack"/>
        <s v="Amanda Cruz"/>
        <s v="Elizabeth Foster"/>
        <s v="Brittany Watson"/>
        <s v="Lindsey Mendoza"/>
        <s v="Karen Hancock"/>
        <s v="Kyle Mcintyre"/>
        <s v="Katherine Martin"/>
        <s v="David Barnett"/>
        <s v="Jacob Bernard"/>
        <s v="Brian Walker"/>
        <s v="Christopher Simpson"/>
        <s v="Kent Cannon"/>
        <s v="Brian Rodriguez"/>
        <s v="Robert Fowler"/>
        <s v="Bill Brown"/>
        <s v="Brian Caldwell"/>
        <s v="Michael Stanley"/>
        <s v="Veronica Chen"/>
        <s v="Krystal Krueger"/>
        <s v="Gregory Riley"/>
        <s v="Michael Franco"/>
        <s v="Daniel Beck"/>
        <s v="Andrew Webb"/>
        <s v="Virginia Sharp"/>
        <s v="Teresa Medina"/>
        <s v="Mary Sanchez"/>
        <s v="Charles Wells"/>
        <s v="Erin Walton"/>
        <s v="Julie May"/>
        <s v="Michael Mason"/>
        <s v="Alicia Hall"/>
        <s v="Cynthia Cruz"/>
        <s v="Karen Gomez"/>
        <s v="Jerry Tucker"/>
        <s v="Jackie Harper"/>
        <s v="Wendy Mcguire"/>
        <s v="Samuel Ramirez"/>
        <s v="Katherine Small"/>
        <s v="Kristin Hartman"/>
        <s v="Theresa Williams"/>
        <s v="Joseph Bell"/>
        <s v="Kimberly Young"/>
        <s v="Jessica Miller"/>
        <s v="Donna Peters"/>
        <s v="Donna Orr"/>
        <s v="Mrs. Michelle Reed"/>
        <s v="Douglas Smith"/>
        <s v="Kelly Thomas"/>
        <s v="Steven Welch"/>
        <s v="Kimberly Beck"/>
        <s v="Katherine Long"/>
        <s v="Nathan Summers"/>
        <s v="Maureen Jacobson"/>
        <s v="James Fleming"/>
        <s v="Jeremy Mclaughlin"/>
        <s v="Stephanie Kelley DVM"/>
        <s v="Dr. Brian Smith"/>
        <s v="Brian Chambers"/>
        <s v="Amanda Hoffman"/>
        <s v="Donna Adkins"/>
        <s v="Sara Morse"/>
        <s v="Katrina Williams MD"/>
        <s v="Matthew Carney"/>
        <s v="Jason Bray"/>
        <s v="Amber Waters"/>
        <s v="Crystal Garza"/>
        <s v="Sarah Peterson"/>
        <s v="Jerry Torres"/>
        <s v="Danielle Pacheco"/>
        <s v="James Love"/>
        <s v="Kimberly Foster"/>
        <s v="John Hancock"/>
        <s v="Victoria Garcia"/>
        <s v="Carlos Spence"/>
        <s v="Victor Warner"/>
        <s v="Luis Nolan"/>
        <s v="Xavier Richardson"/>
        <s v="Brianna Shea"/>
        <s v="Mark Moore"/>
        <s v="Michael Rogers"/>
        <s v="Tina Gonzalez"/>
        <s v="Bethany Mcpherson"/>
        <s v="Rodney Lopez"/>
        <s v="Jacob Patel"/>
        <s v="Jamie Andrews"/>
        <s v="Scott Washington"/>
        <s v="Stacy Hartman"/>
        <s v="Kevin Fields"/>
        <s v="Debra Buchanan"/>
        <s v="Bob Shaw"/>
        <s v="Erin Carr"/>
        <s v="Jon Duarte"/>
        <s v="Willie Rose"/>
        <s v="Ashley Edwards"/>
        <s v="Emily Joseph"/>
        <s v="Kerry Rowe"/>
        <s v="Darrell Mendez"/>
        <s v="Benjamin Brown"/>
        <s v="Manuel Vargas"/>
        <s v="Heidi Hamilton"/>
        <s v="Matthew Pratt"/>
        <s v="Jennifer Anderson"/>
        <s v="Sarah Harper DDS"/>
        <s v="Erica Riley"/>
        <s v="Mitchell Sims"/>
        <s v="Dawn Collins"/>
        <s v="Jennifer Johnston"/>
        <s v="Jacob Andrade"/>
        <s v="Mrs. Kayla Peterson"/>
        <s v="Hannah Herrera"/>
        <s v="Judith Watson"/>
        <s v="Angela Burton"/>
        <s v="Stephen Cooper"/>
        <s v="Ryan Hughes"/>
        <s v="Anna Yoder"/>
        <s v="Adam Davis"/>
        <s v="April Hood"/>
        <s v="Jesse Edwards"/>
        <s v="Joy Armstrong"/>
        <s v="Mark Norton"/>
        <s v="Veronica Fry"/>
        <s v="Diana Jones"/>
        <s v="Christopher Chen"/>
        <s v="Ryan Collins"/>
        <s v="Luis Kim"/>
        <s v="Daisy Rodriguez"/>
        <s v="Caleb Kennedy"/>
        <s v="Jason Houston"/>
        <s v="Lauren Medina"/>
        <s v="Allison Ramos"/>
        <s v="Karen Duke"/>
        <s v="Stephanie Bryant"/>
        <s v="Daniel Bender"/>
        <s v="Amanda White"/>
        <s v="Tracy Harris"/>
        <s v="Brian Vincent"/>
        <s v="Kathryn Young"/>
        <s v="Connor Brown"/>
        <s v="Kimberly Mcdonald"/>
        <s v="James Nguyen"/>
        <s v="Matthew Wilson"/>
        <s v="Kimberly Rangel"/>
        <s v="Brian Mitchell"/>
        <s v="Karen Grimes"/>
        <s v="Richard Walker"/>
        <s v="Jamie Ford"/>
        <s v="Sarah Montgomery"/>
        <s v="Allison Salazar"/>
        <s v="Glenn Bond"/>
        <s v="Savannah Beltran"/>
        <s v="Erika Turner"/>
        <s v="William Coleman MD"/>
        <s v="Wanda Cox"/>
        <s v="Susan Stanton"/>
        <s v="Paula Stone"/>
        <s v="Angie Smith"/>
        <s v="Kayla Norris"/>
        <s v="Matthew Morse"/>
        <s v="Heather Diaz"/>
        <s v="Andrew Gordon"/>
        <s v="Ashley Gomez"/>
        <s v="John Wallace"/>
        <s v="Michael Morris"/>
        <s v="Scott Vega"/>
        <s v="Lynn Dorsey"/>
        <s v="Vanessa Jackson"/>
        <s v="Nicholas Jones"/>
        <s v="Tiffany Sullivan"/>
        <s v="William Harris"/>
        <s v="Julie Smith"/>
        <s v="Patrick Morrison"/>
        <s v="Traci Hopkins"/>
        <s v="Adam Hall"/>
        <s v="Jennifer Perez"/>
        <s v="Natalie Rodriguez"/>
        <s v="Jacob Diaz"/>
        <s v="Tyler Cunningham"/>
        <s v="Megan Smith"/>
        <s v="Karen Griffin"/>
        <s v="Ian Castillo"/>
        <s v="Andre Jones"/>
        <s v="Sean Hernandez"/>
        <s v="Katrina Jones"/>
        <s v="Steven Scott"/>
        <s v="Lydia Baker"/>
        <s v="Donald Clark"/>
        <s v="Dana Ewing"/>
        <s v="Kevin Pearson"/>
        <s v="Lisa Norris"/>
        <s v="Terri Stewart"/>
        <s v="Taylor Hicks"/>
        <s v="John Moran"/>
        <s v="David Wright"/>
        <s v="Megan Morales"/>
        <s v="Brandi Thomas"/>
        <s v="Vanessa Brown"/>
        <s v="Lisa Smith"/>
        <s v="April Randall DDS"/>
        <s v="Russell Zimmerman"/>
        <s v="Kyle Evans"/>
        <s v="Andrea Myers"/>
        <s v="Melinda Cannon"/>
        <s v="Gregory Tapia"/>
        <s v="Michael Campbell"/>
        <s v="Ellen Miller"/>
        <s v="Tammy Thomas"/>
        <s v="John Oliver"/>
        <s v="Jeffrey Martin"/>
        <s v="Ana Hunt"/>
        <s v="Rachel Moore"/>
        <s v="Brian Olson"/>
        <s v="Mark Morrison"/>
        <s v="Madeline Sharp"/>
        <s v="Patrick Russell"/>
        <s v="Melissa Khan"/>
        <s v="Rachel Sanchez"/>
        <s v="Clifford Ramirez"/>
        <s v="Mary Chandler"/>
        <s v="Maria Thomas"/>
        <s v="Dawn Browning"/>
        <s v="Mark Kelley"/>
        <s v="Megan Mccann"/>
        <s v="David Whitney"/>
        <s v="Dr. Mary Day"/>
        <s v="Tammie Melendez"/>
        <s v="Tanya Eaton"/>
        <s v="Helen Jackson"/>
        <s v="Evan Marquez"/>
        <s v="Audrey Torres"/>
        <s v="Justin Hall"/>
        <s v="Charles Kemp"/>
        <s v="Melissa Price"/>
        <s v="Tony Burke"/>
        <s v="Gary Murray"/>
        <s v="Donald Mitchell"/>
        <s v="Kevin Mendoza DVM"/>
        <s v="Carla Cole"/>
        <s v="Gary Wood"/>
        <s v="Rachel Holloway"/>
        <s v="Bradley Jones"/>
        <s v="Christina Simmons"/>
        <s v="Becky Sanchez"/>
        <s v="Kimberly Sullivan"/>
        <s v="Robert Williams"/>
        <s v="Nathan Mathews"/>
        <s v="Tiffany Lowery"/>
        <s v="Rebecca Goodwin"/>
        <s v="Gregory Gonzalez"/>
        <s v="Brianna Hernandez"/>
        <s v="Gregory Brown"/>
        <s v="Anna Jennings"/>
        <s v="Dennis Murphy"/>
        <s v="Melissa Williams"/>
        <s v="Cynthia Dunn"/>
        <s v="Christopher Guzman"/>
        <s v="Scott Nguyen"/>
        <s v="Rhonda Oconnor"/>
        <s v="Joshua Martin"/>
        <s v="Aaron Perkins"/>
        <s v="Erika Richards"/>
        <s v="Heather Foster"/>
        <s v="Sherri Buckley"/>
        <s v="Darryl Case"/>
        <s v="Anthony Hughes"/>
        <s v="Thomas Clark MD"/>
        <s v="Martin Herring"/>
        <s v="William Bryan"/>
        <s v="Heather Stokes"/>
        <s v="Vickie Johnson"/>
        <s v="Vincent Kemp"/>
        <s v="Julia Mcmillan"/>
        <s v="Robin Diaz"/>
        <s v="April Spears"/>
        <s v="Benjamin Williams"/>
        <s v="Cassandra Bishop"/>
        <s v="Andrea Kennedy"/>
        <s v="James Harris"/>
        <s v="Ronald Davis"/>
        <s v="Cheryl Bailey"/>
        <s v="Jose Price"/>
        <s v="Christopher Williams"/>
        <s v="James Fox"/>
        <s v="Charles Nguyen"/>
        <s v="Douglas Foster"/>
        <s v="George Singleton"/>
        <s v="Cynthia Baker"/>
        <s v="Andrea Lam"/>
        <s v="Frank Anderson"/>
        <s v="Derek Doyle"/>
        <s v="Kathy Lawson"/>
        <s v="Daniel Love"/>
        <s v="Rachel Wells"/>
        <s v="Donna Stephens"/>
        <s v="Autumn Hill"/>
        <s v="Daniel Morris"/>
        <s v="Jennifer Paul"/>
        <s v="Courtney Foley"/>
        <s v="Stephanie Mercer"/>
        <s v="Jacob Mckay"/>
        <s v="James Berger"/>
        <s v="Daniel Smith"/>
        <s v="Victoria Hansen"/>
        <s v="Jennifer Martin"/>
        <s v="Chelsea Harris"/>
        <s v="Lauren Ayers"/>
        <s v="Robert Bass"/>
        <s v="Kimberly Johnson"/>
        <s v="Anthony Mccoy"/>
        <s v="Marvin Hicks"/>
      </sharedItems>
    </cacheField>
    <cacheField name="department" numFmtId="0">
      <sharedItems count="4">
        <s v="Cardiology"/>
        <s v="Orthopedics"/>
        <s v="Neurology"/>
        <s v="General"/>
      </sharedItems>
    </cacheField>
    <cacheField name="billing_amount(USD)" numFmtId="164">
      <sharedItems containsBlank="1" containsMixedTypes="1" containsNumber="1" minValue="0.61" maxValue="664.56"/>
    </cacheField>
    <cacheField name="follow_up_required" numFmtId="0">
      <sharedItems count="2">
        <s v="Yes"/>
        <s v="No"/>
      </sharedItems>
    </cacheField>
    <cacheField name="year" numFmtId="0">
      <sharedItems containsSemiMixedTypes="0" containsString="0" containsNumber="1" containsInteger="1" minValue="2025" maxValue="2026" count="2">
        <n v="2026"/>
        <n v="2025"/>
      </sharedItems>
    </cacheField>
    <cacheField name="age_range" numFmtId="0">
      <sharedItems count="7">
        <s v="71-80"/>
        <s v="61-70"/>
        <s v="41-50"/>
        <s v="18-30"/>
        <s v="51-60"/>
        <s v="31-40"/>
        <s v="81-90"/>
      </sharedItems>
    </cacheField>
    <cacheField name="lead days" numFmtId="0">
      <sharedItems containsSemiMixedTypes="0" containsString="0" containsNumber="1" containsInteger="1" minValue="2" maxValue="728"/>
    </cacheField>
  </cacheFields>
  <extLst>
    <ext xmlns:x14="http://schemas.microsoft.com/office/spreadsheetml/2009/9/main" uri="{725AE2AE-9491-48be-B2B4-4EB974FC3084}">
      <x14:pivotCacheDefinition pivotCacheId="11374902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80"/>
    <s v="Tammy Williams"/>
    <x v="0"/>
    <x v="0"/>
    <d v="2026-02-26T00:00:00"/>
    <d v="2024-12-03T00:00:00"/>
    <x v="0"/>
    <x v="0"/>
    <n v="566.30999999999995"/>
    <x v="0"/>
    <x v="0"/>
    <x v="0"/>
    <n v="450"/>
  </r>
  <r>
    <n v="1074"/>
    <s v="Megan Strickland"/>
    <x v="1"/>
    <x v="0"/>
    <d v="2025-05-23T00:00:00"/>
    <d v="2024-06-12T00:00:00"/>
    <x v="1"/>
    <x v="1"/>
    <n v="385.57"/>
    <x v="0"/>
    <x v="1"/>
    <x v="1"/>
    <n v="345"/>
  </r>
  <r>
    <n v="1067"/>
    <s v="Amanda Schroeder"/>
    <x v="2"/>
    <x v="1"/>
    <d v="2025-11-30T00:00:00"/>
    <d v="2024-08-05T00:00:00"/>
    <x v="2"/>
    <x v="2"/>
    <n v="227.74"/>
    <x v="0"/>
    <x v="1"/>
    <x v="0"/>
    <n v="482"/>
  </r>
  <r>
    <n v="1072"/>
    <s v="Anthony Mcpherson"/>
    <x v="3"/>
    <x v="0"/>
    <d v="2025-05-18T00:00:00"/>
    <d v="2024-09-09T00:00:00"/>
    <x v="3"/>
    <x v="3"/>
    <n v="0.94"/>
    <x v="1"/>
    <x v="1"/>
    <x v="2"/>
    <n v="251"/>
  </r>
  <r>
    <n v="1092"/>
    <s v="Benjamin Brown"/>
    <x v="4"/>
    <x v="2"/>
    <d v="2026-03-07T00:00:00"/>
    <d v="2024-08-17T00:00:00"/>
    <x v="4"/>
    <x v="3"/>
    <n v="84.44"/>
    <x v="0"/>
    <x v="0"/>
    <x v="2"/>
    <n v="567"/>
  </r>
  <r>
    <n v="1057"/>
    <s v="Joe Sharp"/>
    <x v="5"/>
    <x v="1"/>
    <d v="2025-09-26T00:00:00"/>
    <d v="2025-08-31T00:00:00"/>
    <x v="5"/>
    <x v="3"/>
    <s v=""/>
    <x v="0"/>
    <x v="1"/>
    <x v="0"/>
    <n v="26"/>
  </r>
  <r>
    <n v="1018"/>
    <s v="Alexander Harris"/>
    <x v="6"/>
    <x v="0"/>
    <d v="2025-10-30T00:00:00"/>
    <d v="2024-12-29T00:00:00"/>
    <x v="6"/>
    <x v="0"/>
    <n v="110.88"/>
    <x v="1"/>
    <x v="1"/>
    <x v="3"/>
    <n v="305"/>
  </r>
  <r>
    <n v="1074"/>
    <s v="Raymond Williams"/>
    <x v="7"/>
    <x v="1"/>
    <d v="2025-04-23T00:00:00"/>
    <d v="2025-03-28T00:00:00"/>
    <x v="7"/>
    <x v="2"/>
    <n v="4.12"/>
    <x v="1"/>
    <x v="1"/>
    <x v="4"/>
    <n v="26"/>
  </r>
  <r>
    <n v="1041"/>
    <s v="Dustin Willis"/>
    <x v="8"/>
    <x v="0"/>
    <d v="2025-08-22T00:00:00"/>
    <d v="2024-11-07T00:00:00"/>
    <x v="8"/>
    <x v="3"/>
    <n v="452.37"/>
    <x v="0"/>
    <x v="1"/>
    <x v="4"/>
    <n v="288"/>
  </r>
  <r>
    <n v="1011"/>
    <s v="Tina Gallagher"/>
    <x v="4"/>
    <x v="1"/>
    <d v="2026-03-16T00:00:00"/>
    <d v="2025-12-12T00:00:00"/>
    <x v="9"/>
    <x v="2"/>
    <n v="554.37"/>
    <x v="0"/>
    <x v="0"/>
    <x v="2"/>
    <n v="94"/>
  </r>
  <r>
    <n v="1086"/>
    <s v="Robert Guerrero"/>
    <x v="8"/>
    <x v="1"/>
    <d v="2025-04-24T00:00:00"/>
    <d v="2024-10-07T00:00:00"/>
    <x v="10"/>
    <x v="0"/>
    <n v="122.24"/>
    <x v="0"/>
    <x v="1"/>
    <x v="4"/>
    <n v="199"/>
  </r>
  <r>
    <n v="1041"/>
    <s v="Karen Walker"/>
    <x v="9"/>
    <x v="0"/>
    <d v="2026-03-07T00:00:00"/>
    <d v="2024-04-24T00:00:00"/>
    <x v="11"/>
    <x v="3"/>
    <n v="82.88"/>
    <x v="0"/>
    <x v="0"/>
    <x v="1"/>
    <n v="682"/>
  </r>
  <r>
    <n v="1057"/>
    <s v="Chris Rice"/>
    <x v="10"/>
    <x v="1"/>
    <d v="2025-07-31T00:00:00"/>
    <d v="2024-05-05T00:00:00"/>
    <x v="12"/>
    <x v="2"/>
    <n v="3.05"/>
    <x v="1"/>
    <x v="1"/>
    <x v="1"/>
    <n v="452"/>
  </r>
  <r>
    <n v="1022"/>
    <s v="Michael Mack"/>
    <x v="11"/>
    <x v="1"/>
    <d v="2025-09-21T00:00:00"/>
    <d v="2024-11-06T00:00:00"/>
    <x v="13"/>
    <x v="1"/>
    <n v="460.33"/>
    <x v="0"/>
    <x v="1"/>
    <x v="1"/>
    <n v="319"/>
  </r>
  <r>
    <n v="1046"/>
    <s v="Andrea Hubbard"/>
    <x v="12"/>
    <x v="0"/>
    <d v="2026-03-12T00:00:00"/>
    <d v="2025-11-08T00:00:00"/>
    <x v="14"/>
    <x v="0"/>
    <n v="89.79"/>
    <x v="1"/>
    <x v="0"/>
    <x v="5"/>
    <n v="124"/>
  </r>
  <r>
    <n v="1025"/>
    <s v="Brian Jones"/>
    <x v="13"/>
    <x v="0"/>
    <d v="2026-02-06T00:00:00"/>
    <d v="2025-03-09T00:00:00"/>
    <x v="15"/>
    <x v="1"/>
    <n v="183.67"/>
    <x v="0"/>
    <x v="0"/>
    <x v="3"/>
    <n v="334"/>
  </r>
  <r>
    <n v="1027"/>
    <s v="Kelly Olsen"/>
    <x v="14"/>
    <x v="1"/>
    <d v="2025-08-27T00:00:00"/>
    <d v="2025-02-13T00:00:00"/>
    <x v="16"/>
    <x v="0"/>
    <n v="335.67"/>
    <x v="0"/>
    <x v="1"/>
    <x v="0"/>
    <n v="195"/>
  </r>
  <r>
    <n v="1059"/>
    <s v="Andrew Oconnor"/>
    <x v="15"/>
    <x v="0"/>
    <d v="2025-11-11T00:00:00"/>
    <d v="2024-12-01T00:00:00"/>
    <x v="17"/>
    <x v="0"/>
    <n v="153.07"/>
    <x v="0"/>
    <x v="1"/>
    <x v="1"/>
    <n v="345"/>
  </r>
  <r>
    <n v="1086"/>
    <s v="Dennis Hurley"/>
    <x v="16"/>
    <x v="1"/>
    <d v="2025-04-10T00:00:00"/>
    <d v="2024-12-16T00:00:00"/>
    <x v="18"/>
    <x v="3"/>
    <n v="3.62"/>
    <x v="0"/>
    <x v="1"/>
    <x v="6"/>
    <n v="115"/>
  </r>
  <r>
    <n v="1033"/>
    <s v="Paul Brock"/>
    <x v="0"/>
    <x v="0"/>
    <d v="2025-11-05T00:00:00"/>
    <d v="2025-05-23T00:00:00"/>
    <x v="19"/>
    <x v="2"/>
    <n v="151.69999999999999"/>
    <x v="0"/>
    <x v="1"/>
    <x v="0"/>
    <n v="166"/>
  </r>
  <r>
    <n v="1069"/>
    <s v="Jennifer Aguirre"/>
    <x v="17"/>
    <x v="1"/>
    <d v="2025-10-14T00:00:00"/>
    <d v="2024-05-28T00:00:00"/>
    <x v="20"/>
    <x v="2"/>
    <n v="0.8"/>
    <x v="1"/>
    <x v="1"/>
    <x v="6"/>
    <n v="504"/>
  </r>
  <r>
    <n v="1097"/>
    <s v="Todd Wilson"/>
    <x v="18"/>
    <x v="1"/>
    <d v="2025-05-15T00:00:00"/>
    <d v="2024-05-05T00:00:00"/>
    <x v="21"/>
    <x v="1"/>
    <n v="2.85"/>
    <x v="0"/>
    <x v="1"/>
    <x v="4"/>
    <n v="375"/>
  </r>
  <r>
    <n v="1064"/>
    <s v="Jeremiah Cole"/>
    <x v="19"/>
    <x v="0"/>
    <d v="2026-01-30T00:00:00"/>
    <d v="2024-08-12T00:00:00"/>
    <x v="22"/>
    <x v="3"/>
    <n v="203.61"/>
    <x v="1"/>
    <x v="0"/>
    <x v="6"/>
    <n v="536"/>
  </r>
  <r>
    <n v="1089"/>
    <s v="Vincent Brown"/>
    <x v="20"/>
    <x v="0"/>
    <d v="2025-05-11T00:00:00"/>
    <d v="2024-07-06T00:00:00"/>
    <x v="23"/>
    <x v="2"/>
    <n v="2.6"/>
    <x v="1"/>
    <x v="1"/>
    <x v="5"/>
    <n v="309"/>
  </r>
  <r>
    <n v="1086"/>
    <s v="Tracy Mcdonald"/>
    <x v="21"/>
    <x v="0"/>
    <d v="2025-07-31T00:00:00"/>
    <d v="2024-04-09T00:00:00"/>
    <x v="24"/>
    <x v="0"/>
    <n v="3.21"/>
    <x v="0"/>
    <x v="1"/>
    <x v="5"/>
    <n v="478"/>
  </r>
  <r>
    <n v="1073"/>
    <s v="Phillip Simpson"/>
    <x v="19"/>
    <x v="0"/>
    <d v="2025-06-27T00:00:00"/>
    <d v="2025-05-06T00:00:00"/>
    <x v="25"/>
    <x v="3"/>
    <n v="51.72"/>
    <x v="0"/>
    <x v="1"/>
    <x v="6"/>
    <n v="52"/>
  </r>
  <r>
    <n v="1093"/>
    <s v="Penny Friedman"/>
    <x v="22"/>
    <x v="1"/>
    <d v="2026-03-23T00:00:00"/>
    <d v="2025-06-13T00:00:00"/>
    <x v="26"/>
    <x v="0"/>
    <n v="291.06"/>
    <x v="0"/>
    <x v="0"/>
    <x v="3"/>
    <n v="283"/>
  </r>
  <r>
    <n v="1084"/>
    <s v="Cynthia Hensley"/>
    <x v="23"/>
    <x v="1"/>
    <d v="2026-03-08T00:00:00"/>
    <d v="2024-07-09T00:00:00"/>
    <x v="27"/>
    <x v="2"/>
    <n v="1.76"/>
    <x v="0"/>
    <x v="0"/>
    <x v="6"/>
    <n v="607"/>
  </r>
  <r>
    <n v="1002"/>
    <s v="Cassandra Gardner"/>
    <x v="24"/>
    <x v="1"/>
    <d v="2025-10-14T00:00:00"/>
    <d v="2024-11-04T00:00:00"/>
    <x v="28"/>
    <x v="2"/>
    <n v="3.77"/>
    <x v="1"/>
    <x v="1"/>
    <x v="2"/>
    <n v="344"/>
  </r>
  <r>
    <n v="1030"/>
    <s v="Patrick Saunders"/>
    <x v="25"/>
    <x v="1"/>
    <d v="2025-09-11T00:00:00"/>
    <d v="2024-10-05T00:00:00"/>
    <x v="29"/>
    <x v="1"/>
    <n v="2.2999999999999998"/>
    <x v="1"/>
    <x v="1"/>
    <x v="3"/>
    <n v="341"/>
  </r>
  <r>
    <n v="1043"/>
    <s v="Angel Kelly"/>
    <x v="26"/>
    <x v="0"/>
    <d v="2025-12-15T00:00:00"/>
    <d v="2025-07-21T00:00:00"/>
    <x v="30"/>
    <x v="3"/>
    <n v="4.7"/>
    <x v="1"/>
    <x v="1"/>
    <x v="6"/>
    <n v="147"/>
  </r>
  <r>
    <n v="1056"/>
    <s v="Heather Baker"/>
    <x v="27"/>
    <x v="0"/>
    <d v="2025-09-13T00:00:00"/>
    <d v="2025-01-07T00:00:00"/>
    <x v="31"/>
    <x v="1"/>
    <n v="286.36"/>
    <x v="0"/>
    <x v="1"/>
    <x v="1"/>
    <n v="249"/>
  </r>
  <r>
    <n v="1094"/>
    <s v="Stacy Cunningham"/>
    <x v="20"/>
    <x v="1"/>
    <d v="2026-03-09T00:00:00"/>
    <d v="2024-11-14T00:00:00"/>
    <x v="32"/>
    <x v="3"/>
    <n v="549.99"/>
    <x v="1"/>
    <x v="0"/>
    <x v="5"/>
    <n v="480"/>
  </r>
  <r>
    <n v="1041"/>
    <s v="Nicole Shaw"/>
    <x v="22"/>
    <x v="1"/>
    <d v="2025-05-07T00:00:00"/>
    <d v="2025-01-19T00:00:00"/>
    <x v="33"/>
    <x v="2"/>
    <s v=""/>
    <x v="0"/>
    <x v="1"/>
    <x v="3"/>
    <n v="108"/>
  </r>
  <r>
    <n v="1071"/>
    <s v="Michele Park"/>
    <x v="28"/>
    <x v="0"/>
    <d v="2026-01-10T00:00:00"/>
    <d v="2024-11-01T00:00:00"/>
    <x v="34"/>
    <x v="3"/>
    <n v="526.97"/>
    <x v="1"/>
    <x v="0"/>
    <x v="2"/>
    <n v="435"/>
  </r>
  <r>
    <n v="1051"/>
    <s v="Leslie Silva"/>
    <x v="29"/>
    <x v="1"/>
    <d v="2025-06-07T00:00:00"/>
    <d v="2024-12-09T00:00:00"/>
    <x v="35"/>
    <x v="1"/>
    <n v="340.25"/>
    <x v="0"/>
    <x v="1"/>
    <x v="3"/>
    <n v="180"/>
  </r>
  <r>
    <n v="1003"/>
    <s v="Katelyn Smith"/>
    <x v="30"/>
    <x v="2"/>
    <d v="2025-10-16T00:00:00"/>
    <d v="2025-09-21T00:00:00"/>
    <x v="36"/>
    <x v="2"/>
    <n v="481.44"/>
    <x v="1"/>
    <x v="1"/>
    <x v="3"/>
    <n v="25"/>
  </r>
  <r>
    <n v="1053"/>
    <s v="John Yang"/>
    <x v="31"/>
    <x v="1"/>
    <d v="2025-09-15T00:00:00"/>
    <d v="2024-05-09T00:00:00"/>
    <x v="37"/>
    <x v="1"/>
    <n v="442.77"/>
    <x v="1"/>
    <x v="1"/>
    <x v="5"/>
    <n v="494"/>
  </r>
  <r>
    <n v="1052"/>
    <s v="Judy Blair"/>
    <x v="32"/>
    <x v="0"/>
    <d v="2025-09-08T00:00:00"/>
    <d v="2025-05-16T00:00:00"/>
    <x v="38"/>
    <x v="1"/>
    <n v="1.93"/>
    <x v="1"/>
    <x v="1"/>
    <x v="6"/>
    <n v="115"/>
  </r>
  <r>
    <n v="1018"/>
    <s v="Jennifer Long"/>
    <x v="33"/>
    <x v="0"/>
    <d v="2026-03-01T00:00:00"/>
    <d v="2024-06-03T00:00:00"/>
    <x v="39"/>
    <x v="2"/>
    <n v="359.14"/>
    <x v="1"/>
    <x v="0"/>
    <x v="4"/>
    <n v="636"/>
  </r>
  <r>
    <n v="1001"/>
    <s v="Melanie Gibson"/>
    <x v="34"/>
    <x v="1"/>
    <d v="2025-08-17T00:00:00"/>
    <d v="2024-09-23T00:00:00"/>
    <x v="40"/>
    <x v="1"/>
    <n v="268.14"/>
    <x v="0"/>
    <x v="1"/>
    <x v="2"/>
    <n v="328"/>
  </r>
  <r>
    <n v="1060"/>
    <s v="Amanda Jones"/>
    <x v="10"/>
    <x v="1"/>
    <d v="2025-11-19T00:00:00"/>
    <d v="2024-04-28T00:00:00"/>
    <x v="41"/>
    <x v="3"/>
    <n v="559.72"/>
    <x v="0"/>
    <x v="1"/>
    <x v="1"/>
    <n v="570"/>
  </r>
  <r>
    <n v="1055"/>
    <s v="Donna West"/>
    <x v="35"/>
    <x v="1"/>
    <d v="2025-05-24T00:00:00"/>
    <d v="2024-07-18T00:00:00"/>
    <x v="42"/>
    <x v="1"/>
    <n v="4.97"/>
    <x v="0"/>
    <x v="1"/>
    <x v="5"/>
    <n v="310"/>
  </r>
  <r>
    <n v="1063"/>
    <s v="Edward Sanders"/>
    <x v="36"/>
    <x v="2"/>
    <d v="2025-09-16T00:00:00"/>
    <d v="2025-04-29T00:00:00"/>
    <x v="43"/>
    <x v="1"/>
    <n v="5.28"/>
    <x v="1"/>
    <x v="1"/>
    <x v="3"/>
    <n v="140"/>
  </r>
  <r>
    <n v="1069"/>
    <s v="Michael Levine"/>
    <x v="14"/>
    <x v="0"/>
    <d v="2025-08-11T00:00:00"/>
    <d v="2024-04-01T00:00:00"/>
    <x v="44"/>
    <x v="2"/>
    <n v="283.76"/>
    <x v="0"/>
    <x v="1"/>
    <x v="0"/>
    <n v="497"/>
  </r>
  <r>
    <n v="1095"/>
    <s v="Loretta Richardson"/>
    <x v="36"/>
    <x v="0"/>
    <d v="2025-08-22T00:00:00"/>
    <d v="2025-04-25T00:00:00"/>
    <x v="45"/>
    <x v="2"/>
    <n v="1.32"/>
    <x v="0"/>
    <x v="1"/>
    <x v="3"/>
    <n v="119"/>
  </r>
  <r>
    <n v="1005"/>
    <s v="Kathleen Jones"/>
    <x v="37"/>
    <x v="1"/>
    <d v="2025-06-12T00:00:00"/>
    <d v="2024-08-11T00:00:00"/>
    <x v="46"/>
    <x v="0"/>
    <n v="1.49"/>
    <x v="1"/>
    <x v="1"/>
    <x v="2"/>
    <n v="305"/>
  </r>
  <r>
    <n v="1001"/>
    <s v="Michael Allen"/>
    <x v="38"/>
    <x v="0"/>
    <d v="2025-07-29T00:00:00"/>
    <d v="2024-06-08T00:00:00"/>
    <x v="47"/>
    <x v="1"/>
    <n v="240.17"/>
    <x v="1"/>
    <x v="1"/>
    <x v="1"/>
    <n v="416"/>
  </r>
  <r>
    <n v="1024"/>
    <s v="Kari Jackson"/>
    <x v="21"/>
    <x v="0"/>
    <d v="2025-10-01T00:00:00"/>
    <d v="2024-10-13T00:00:00"/>
    <x v="48"/>
    <x v="1"/>
    <n v="4.1399999999999997"/>
    <x v="1"/>
    <x v="1"/>
    <x v="5"/>
    <n v="353"/>
  </r>
  <r>
    <n v="1016"/>
    <s v="Kim Allen"/>
    <x v="35"/>
    <x v="0"/>
    <d v="2025-12-30T00:00:00"/>
    <d v="2025-03-31T00:00:00"/>
    <x v="49"/>
    <x v="1"/>
    <n v="384.73"/>
    <x v="0"/>
    <x v="1"/>
    <x v="5"/>
    <n v="274"/>
  </r>
  <r>
    <n v="1040"/>
    <s v="Regina Wilson"/>
    <x v="29"/>
    <x v="1"/>
    <d v="2025-08-14T00:00:00"/>
    <d v="2024-06-03T00:00:00"/>
    <x v="50"/>
    <x v="0"/>
    <n v="2.04"/>
    <x v="0"/>
    <x v="1"/>
    <x v="3"/>
    <n v="437"/>
  </r>
  <r>
    <n v="1042"/>
    <s v="Samantha Mosley"/>
    <x v="39"/>
    <x v="1"/>
    <d v="2025-12-05T00:00:00"/>
    <d v="2024-09-03T00:00:00"/>
    <x v="51"/>
    <x v="2"/>
    <n v="224.01"/>
    <x v="0"/>
    <x v="1"/>
    <x v="3"/>
    <n v="458"/>
  </r>
  <r>
    <n v="1015"/>
    <s v="Kathleen Porter"/>
    <x v="15"/>
    <x v="1"/>
    <d v="2026-01-28T00:00:00"/>
    <d v="2025-05-06T00:00:00"/>
    <x v="52"/>
    <x v="2"/>
    <n v="367.06"/>
    <x v="1"/>
    <x v="0"/>
    <x v="1"/>
    <n v="267"/>
  </r>
  <r>
    <n v="1053"/>
    <s v="Cheryl Michael"/>
    <x v="37"/>
    <x v="1"/>
    <d v="2025-08-06T00:00:00"/>
    <d v="2025-03-23T00:00:00"/>
    <x v="53"/>
    <x v="2"/>
    <n v="4.33"/>
    <x v="0"/>
    <x v="1"/>
    <x v="2"/>
    <n v="136"/>
  </r>
  <r>
    <n v="1063"/>
    <s v="Lawrence Rios"/>
    <x v="40"/>
    <x v="0"/>
    <d v="2026-01-10T00:00:00"/>
    <d v="2024-12-11T00:00:00"/>
    <x v="54"/>
    <x v="2"/>
    <n v="515.24"/>
    <x v="1"/>
    <x v="0"/>
    <x v="1"/>
    <n v="395"/>
  </r>
  <r>
    <n v="1068"/>
    <s v="Vanessa Jones"/>
    <x v="41"/>
    <x v="0"/>
    <d v="2025-11-09T00:00:00"/>
    <d v="2025-09-10T00:00:00"/>
    <x v="55"/>
    <x v="1"/>
    <n v="169.25"/>
    <x v="0"/>
    <x v="1"/>
    <x v="1"/>
    <n v="60"/>
  </r>
  <r>
    <n v="1006"/>
    <s v="Tiffany Burke"/>
    <x v="42"/>
    <x v="0"/>
    <d v="2025-07-09T00:00:00"/>
    <d v="2025-04-03T00:00:00"/>
    <x v="56"/>
    <x v="2"/>
    <n v="274.81"/>
    <x v="0"/>
    <x v="1"/>
    <x v="2"/>
    <n v="97"/>
  </r>
  <r>
    <n v="1047"/>
    <s v="Joseph Church"/>
    <x v="43"/>
    <x v="1"/>
    <d v="2025-08-05T00:00:00"/>
    <d v="2025-02-03T00:00:00"/>
    <x v="57"/>
    <x v="1"/>
    <n v="0.76"/>
    <x v="0"/>
    <x v="1"/>
    <x v="6"/>
    <n v="183"/>
  </r>
  <r>
    <n v="1095"/>
    <s v="Heather Jackson"/>
    <x v="44"/>
    <x v="0"/>
    <d v="2025-06-04T00:00:00"/>
    <d v="2025-01-26T00:00:00"/>
    <x v="58"/>
    <x v="2"/>
    <n v="4.0199999999999996"/>
    <x v="1"/>
    <x v="1"/>
    <x v="4"/>
    <n v="129"/>
  </r>
  <r>
    <n v="1009"/>
    <s v="Adam Sanders"/>
    <x v="41"/>
    <x v="1"/>
    <d v="2025-08-08T00:00:00"/>
    <d v="2025-05-24T00:00:00"/>
    <x v="59"/>
    <x v="3"/>
    <n v="466.97"/>
    <x v="0"/>
    <x v="1"/>
    <x v="1"/>
    <n v="76"/>
  </r>
  <r>
    <n v="1078"/>
    <s v="Edward Perry"/>
    <x v="8"/>
    <x v="0"/>
    <d v="2025-12-09T00:00:00"/>
    <d v="2025-07-12T00:00:00"/>
    <x v="60"/>
    <x v="3"/>
    <n v="5.33"/>
    <x v="1"/>
    <x v="1"/>
    <x v="4"/>
    <n v="150"/>
  </r>
  <r>
    <n v="1019"/>
    <s v="Bonnie Boone"/>
    <x v="35"/>
    <x v="0"/>
    <d v="2025-11-24T00:00:00"/>
    <d v="2024-11-05T00:00:00"/>
    <x v="61"/>
    <x v="1"/>
    <n v="128.18"/>
    <x v="0"/>
    <x v="1"/>
    <x v="5"/>
    <n v="384"/>
  </r>
  <r>
    <n v="1021"/>
    <s v="Robert Brown"/>
    <x v="45"/>
    <x v="1"/>
    <d v="2025-06-28T00:00:00"/>
    <d v="2024-03-27T00:00:00"/>
    <x v="62"/>
    <x v="3"/>
    <n v="218.64"/>
    <x v="0"/>
    <x v="1"/>
    <x v="5"/>
    <n v="458"/>
  </r>
  <r>
    <n v="1018"/>
    <s v="Matthew Cross"/>
    <x v="5"/>
    <x v="1"/>
    <d v="2025-07-31T00:00:00"/>
    <d v="2025-06-24T00:00:00"/>
    <x v="63"/>
    <x v="3"/>
    <n v="149.80000000000001"/>
    <x v="0"/>
    <x v="1"/>
    <x v="0"/>
    <n v="37"/>
  </r>
  <r>
    <n v="1077"/>
    <s v="Jennifer Stark"/>
    <x v="21"/>
    <x v="2"/>
    <d v="2025-06-29T00:00:00"/>
    <d v="2024-12-04T00:00:00"/>
    <x v="64"/>
    <x v="2"/>
    <n v="2.97"/>
    <x v="1"/>
    <x v="1"/>
    <x v="5"/>
    <n v="207"/>
  </r>
  <r>
    <n v="1063"/>
    <s v="Jordan Camacho Jr."/>
    <x v="46"/>
    <x v="1"/>
    <d v="2025-11-12T00:00:00"/>
    <d v="2025-06-30T00:00:00"/>
    <x v="65"/>
    <x v="2"/>
    <n v="186.24"/>
    <x v="0"/>
    <x v="1"/>
    <x v="3"/>
    <n v="135"/>
  </r>
  <r>
    <n v="1015"/>
    <s v="Elizabeth Bryant"/>
    <x v="31"/>
    <x v="0"/>
    <d v="2025-07-19T00:00:00"/>
    <d v="2024-06-10T00:00:00"/>
    <x v="66"/>
    <x v="1"/>
    <n v="4.68"/>
    <x v="1"/>
    <x v="1"/>
    <x v="5"/>
    <n v="404"/>
  </r>
  <r>
    <n v="1068"/>
    <s v="Matthew Valdez"/>
    <x v="47"/>
    <x v="1"/>
    <d v="2026-02-19T00:00:00"/>
    <d v="2024-11-13T00:00:00"/>
    <x v="67"/>
    <x v="2"/>
    <n v="122.05"/>
    <x v="0"/>
    <x v="0"/>
    <x v="4"/>
    <n v="463"/>
  </r>
  <r>
    <n v="1010"/>
    <s v="Richard Woodard"/>
    <x v="48"/>
    <x v="0"/>
    <d v="2026-02-11T00:00:00"/>
    <d v="2025-09-28T00:00:00"/>
    <x v="68"/>
    <x v="1"/>
    <n v="102.22"/>
    <x v="1"/>
    <x v="0"/>
    <x v="5"/>
    <n v="136"/>
  </r>
  <r>
    <n v="1034"/>
    <s v="Chad Reed"/>
    <x v="9"/>
    <x v="1"/>
    <d v="2025-07-05T00:00:00"/>
    <d v="2025-01-23T00:00:00"/>
    <x v="69"/>
    <x v="2"/>
    <n v="602.57000000000005"/>
    <x v="1"/>
    <x v="1"/>
    <x v="1"/>
    <n v="163"/>
  </r>
  <r>
    <n v="1095"/>
    <s v="Jessica Heath"/>
    <x v="23"/>
    <x v="2"/>
    <d v="2025-06-25T00:00:00"/>
    <d v="2024-04-24T00:00:00"/>
    <x v="70"/>
    <x v="0"/>
    <n v="68.73"/>
    <x v="0"/>
    <x v="1"/>
    <x v="6"/>
    <n v="427"/>
  </r>
  <r>
    <n v="1070"/>
    <s v="Clayton Williamson"/>
    <x v="49"/>
    <x v="1"/>
    <d v="2025-09-10T00:00:00"/>
    <d v="2024-08-20T00:00:00"/>
    <x v="71"/>
    <x v="2"/>
    <n v="185.52"/>
    <x v="1"/>
    <x v="1"/>
    <x v="6"/>
    <n v="386"/>
  </r>
  <r>
    <n v="1099"/>
    <s v="Timothy Walter"/>
    <x v="50"/>
    <x v="0"/>
    <d v="2025-07-21T00:00:00"/>
    <d v="2025-07-14T00:00:00"/>
    <x v="72"/>
    <x v="2"/>
    <n v="149.6"/>
    <x v="0"/>
    <x v="1"/>
    <x v="3"/>
    <n v="7"/>
  </r>
  <r>
    <n v="1022"/>
    <s v="Katelyn Miller"/>
    <x v="13"/>
    <x v="0"/>
    <d v="2026-02-19T00:00:00"/>
    <d v="2024-09-16T00:00:00"/>
    <x v="73"/>
    <x v="1"/>
    <n v="382.34"/>
    <x v="0"/>
    <x v="0"/>
    <x v="3"/>
    <n v="521"/>
  </r>
  <r>
    <n v="1095"/>
    <s v="Elizabeth Decker"/>
    <x v="23"/>
    <x v="0"/>
    <d v="2025-10-22T00:00:00"/>
    <d v="2025-07-19T00:00:00"/>
    <x v="74"/>
    <x v="1"/>
    <n v="1.85"/>
    <x v="0"/>
    <x v="1"/>
    <x v="6"/>
    <n v="95"/>
  </r>
  <r>
    <n v="1061"/>
    <s v="Jessica Smith"/>
    <x v="15"/>
    <x v="0"/>
    <d v="2025-08-20T00:00:00"/>
    <d v="2025-03-08T00:00:00"/>
    <x v="75"/>
    <x v="2"/>
    <s v=""/>
    <x v="0"/>
    <x v="1"/>
    <x v="1"/>
    <n v="165"/>
  </r>
  <r>
    <n v="1088"/>
    <s v="James Johnston"/>
    <x v="6"/>
    <x v="1"/>
    <d v="2025-11-02T00:00:00"/>
    <d v="2025-04-24T00:00:00"/>
    <x v="76"/>
    <x v="3"/>
    <n v="206.53"/>
    <x v="0"/>
    <x v="1"/>
    <x v="3"/>
    <n v="192"/>
  </r>
  <r>
    <n v="1008"/>
    <s v="Christine Price"/>
    <x v="1"/>
    <x v="0"/>
    <d v="2025-10-01T00:00:00"/>
    <d v="2024-05-23T00:00:00"/>
    <x v="77"/>
    <x v="1"/>
    <n v="258.20999999999998"/>
    <x v="1"/>
    <x v="1"/>
    <x v="1"/>
    <n v="496"/>
  </r>
  <r>
    <n v="1014"/>
    <s v="Amy Mayer"/>
    <x v="29"/>
    <x v="0"/>
    <d v="2025-09-28T00:00:00"/>
    <d v="2024-07-08T00:00:00"/>
    <x v="78"/>
    <x v="0"/>
    <n v="283.81"/>
    <x v="0"/>
    <x v="1"/>
    <x v="3"/>
    <n v="447"/>
  </r>
  <r>
    <n v="1005"/>
    <s v="Samuel Moore"/>
    <x v="1"/>
    <x v="1"/>
    <d v="2026-03-02T00:00:00"/>
    <d v="2024-11-21T00:00:00"/>
    <x v="79"/>
    <x v="3"/>
    <n v="0.91"/>
    <x v="0"/>
    <x v="0"/>
    <x v="1"/>
    <n v="466"/>
  </r>
  <r>
    <n v="1098"/>
    <s v="Jamie Mcclure"/>
    <x v="35"/>
    <x v="0"/>
    <d v="2026-03-13T00:00:00"/>
    <d v="2025-07-27T00:00:00"/>
    <x v="80"/>
    <x v="1"/>
    <n v="80.38"/>
    <x v="0"/>
    <x v="0"/>
    <x v="5"/>
    <n v="229"/>
  </r>
  <r>
    <n v="1074"/>
    <s v="Luke Price"/>
    <x v="13"/>
    <x v="0"/>
    <d v="2025-12-13T00:00:00"/>
    <d v="2025-06-18T00:00:00"/>
    <x v="81"/>
    <x v="1"/>
    <n v="2.86"/>
    <x v="0"/>
    <x v="1"/>
    <x v="3"/>
    <n v="178"/>
  </r>
  <r>
    <n v="1097"/>
    <s v="Luis Rodriguez"/>
    <x v="34"/>
    <x v="1"/>
    <d v="2025-11-23T00:00:00"/>
    <d v="2025-09-24T00:00:00"/>
    <x v="82"/>
    <x v="1"/>
    <n v="294.58"/>
    <x v="0"/>
    <x v="1"/>
    <x v="2"/>
    <n v="60"/>
  </r>
  <r>
    <n v="1047"/>
    <s v="Pamela Brown"/>
    <x v="51"/>
    <x v="1"/>
    <d v="2026-02-25T00:00:00"/>
    <d v="2025-06-01T00:00:00"/>
    <x v="83"/>
    <x v="1"/>
    <n v="247.13"/>
    <x v="0"/>
    <x v="0"/>
    <x v="5"/>
    <n v="269"/>
  </r>
  <r>
    <n v="1093"/>
    <s v="Craig Nixon"/>
    <x v="33"/>
    <x v="2"/>
    <d v="2025-10-12T00:00:00"/>
    <d v="2025-08-20T00:00:00"/>
    <x v="84"/>
    <x v="2"/>
    <n v="453.78"/>
    <x v="1"/>
    <x v="1"/>
    <x v="4"/>
    <n v="53"/>
  </r>
  <r>
    <n v="1044"/>
    <s v="Justin Caldwell"/>
    <x v="7"/>
    <x v="0"/>
    <d v="2025-05-09T00:00:00"/>
    <d v="2024-12-18T00:00:00"/>
    <x v="85"/>
    <x v="1"/>
    <n v="4.22"/>
    <x v="1"/>
    <x v="1"/>
    <x v="4"/>
    <n v="142"/>
  </r>
  <r>
    <n v="1050"/>
    <s v="Cassandra Collins"/>
    <x v="47"/>
    <x v="1"/>
    <d v="2025-10-03T00:00:00"/>
    <d v="2025-08-26T00:00:00"/>
    <x v="86"/>
    <x v="3"/>
    <n v="273.02999999999997"/>
    <x v="0"/>
    <x v="1"/>
    <x v="4"/>
    <n v="38"/>
  </r>
  <r>
    <n v="1100"/>
    <s v="Adam Torres"/>
    <x v="44"/>
    <x v="1"/>
    <d v="2025-07-03T00:00:00"/>
    <d v="2024-08-25T00:00:00"/>
    <x v="87"/>
    <x v="2"/>
    <n v="3.62"/>
    <x v="1"/>
    <x v="1"/>
    <x v="4"/>
    <n v="312"/>
  </r>
  <r>
    <n v="1095"/>
    <s v="Carol Foster"/>
    <x v="10"/>
    <x v="1"/>
    <d v="2025-10-19T00:00:00"/>
    <d v="2025-08-22T00:00:00"/>
    <x v="88"/>
    <x v="2"/>
    <n v="436.09"/>
    <x v="1"/>
    <x v="1"/>
    <x v="1"/>
    <n v="58"/>
  </r>
  <r>
    <n v="1088"/>
    <s v="Chelsey Moore"/>
    <x v="21"/>
    <x v="0"/>
    <d v="2025-10-12T00:00:00"/>
    <d v="2025-01-15T00:00:00"/>
    <x v="89"/>
    <x v="0"/>
    <n v="458.26"/>
    <x v="0"/>
    <x v="1"/>
    <x v="5"/>
    <n v="270"/>
  </r>
  <r>
    <n v="1027"/>
    <s v="John Hensley"/>
    <x v="35"/>
    <x v="1"/>
    <d v="2025-09-23T00:00:00"/>
    <d v="2024-07-15T00:00:00"/>
    <x v="90"/>
    <x v="1"/>
    <n v="3.18"/>
    <x v="0"/>
    <x v="1"/>
    <x v="5"/>
    <n v="435"/>
  </r>
  <r>
    <n v="1040"/>
    <s v="Chelsea Burns"/>
    <x v="40"/>
    <x v="2"/>
    <d v="2025-12-29T00:00:00"/>
    <d v="2024-05-13T00:00:00"/>
    <x v="91"/>
    <x v="0"/>
    <n v="2.13"/>
    <x v="0"/>
    <x v="1"/>
    <x v="1"/>
    <n v="595"/>
  </r>
  <r>
    <n v="1099"/>
    <s v="Ryan Miller"/>
    <x v="52"/>
    <x v="1"/>
    <d v="2025-07-11T00:00:00"/>
    <d v="2025-03-19T00:00:00"/>
    <x v="92"/>
    <x v="1"/>
    <n v="2.86"/>
    <x v="0"/>
    <x v="1"/>
    <x v="5"/>
    <n v="114"/>
  </r>
  <r>
    <n v="1070"/>
    <s v="Jared Green"/>
    <x v="50"/>
    <x v="0"/>
    <d v="2025-10-08T00:00:00"/>
    <d v="2025-05-10T00:00:00"/>
    <x v="93"/>
    <x v="2"/>
    <n v="263.97000000000003"/>
    <x v="1"/>
    <x v="1"/>
    <x v="3"/>
    <n v="151"/>
  </r>
  <r>
    <n v="1058"/>
    <s v="Traci Chandler"/>
    <x v="25"/>
    <x v="0"/>
    <d v="2026-02-04T00:00:00"/>
    <d v="2024-12-10T00:00:00"/>
    <x v="94"/>
    <x v="3"/>
    <n v="480.2"/>
    <x v="1"/>
    <x v="0"/>
    <x v="3"/>
    <n v="421"/>
  </r>
  <r>
    <n v="1040"/>
    <s v="Kenneth Graham"/>
    <x v="21"/>
    <x v="0"/>
    <d v="2025-10-31T00:00:00"/>
    <d v="2025-03-19T00:00:00"/>
    <x v="95"/>
    <x v="2"/>
    <n v="142.32"/>
    <x v="1"/>
    <x v="1"/>
    <x v="5"/>
    <n v="226"/>
  </r>
  <r>
    <n v="1018"/>
    <s v="Angela Watkins"/>
    <x v="21"/>
    <x v="0"/>
    <d v="2025-12-25T00:00:00"/>
    <d v="2024-09-12T00:00:00"/>
    <x v="96"/>
    <x v="0"/>
    <n v="145.38"/>
    <x v="1"/>
    <x v="1"/>
    <x v="5"/>
    <n v="469"/>
  </r>
  <r>
    <n v="1052"/>
    <s v="Keith Becker"/>
    <x v="47"/>
    <x v="0"/>
    <d v="2025-11-07T00:00:00"/>
    <d v="2024-08-28T00:00:00"/>
    <x v="97"/>
    <x v="3"/>
    <s v=""/>
    <x v="0"/>
    <x v="1"/>
    <x v="4"/>
    <n v="436"/>
  </r>
  <r>
    <n v="1031"/>
    <s v="Nicole Hoffman"/>
    <x v="53"/>
    <x v="0"/>
    <d v="2025-06-08T00:00:00"/>
    <d v="2025-01-14T00:00:00"/>
    <x v="98"/>
    <x v="3"/>
    <n v="325.25"/>
    <x v="1"/>
    <x v="1"/>
    <x v="1"/>
    <n v="145"/>
  </r>
  <r>
    <n v="1028"/>
    <s v="Hannah Perez"/>
    <x v="46"/>
    <x v="0"/>
    <d v="2025-11-07T00:00:00"/>
    <d v="2025-07-27T00:00:00"/>
    <x v="99"/>
    <x v="2"/>
    <n v="148.85"/>
    <x v="1"/>
    <x v="1"/>
    <x v="3"/>
    <n v="103"/>
  </r>
  <r>
    <n v="1089"/>
    <s v="Amanda Fuller"/>
    <x v="18"/>
    <x v="1"/>
    <d v="2026-02-18T00:00:00"/>
    <d v="2024-12-08T00:00:00"/>
    <x v="100"/>
    <x v="1"/>
    <n v="347.68"/>
    <x v="0"/>
    <x v="0"/>
    <x v="4"/>
    <n v="437"/>
  </r>
  <r>
    <n v="1092"/>
    <s v="Tina Lewis"/>
    <x v="51"/>
    <x v="0"/>
    <d v="2026-02-10T00:00:00"/>
    <d v="2025-12-18T00:00:00"/>
    <x v="101"/>
    <x v="2"/>
    <n v="79.36"/>
    <x v="0"/>
    <x v="0"/>
    <x v="5"/>
    <n v="54"/>
  </r>
  <r>
    <n v="1088"/>
    <s v="Sarah Hahn"/>
    <x v="47"/>
    <x v="2"/>
    <d v="2026-03-19T00:00:00"/>
    <d v="2024-10-18T00:00:00"/>
    <x v="102"/>
    <x v="3"/>
    <n v="1.35"/>
    <x v="0"/>
    <x v="0"/>
    <x v="4"/>
    <n v="517"/>
  </r>
  <r>
    <n v="1058"/>
    <s v="Destiny Martin"/>
    <x v="54"/>
    <x v="0"/>
    <d v="2026-02-16T00:00:00"/>
    <d v="2025-08-26T00:00:00"/>
    <x v="103"/>
    <x v="3"/>
    <n v="4.63"/>
    <x v="1"/>
    <x v="0"/>
    <x v="3"/>
    <n v="174"/>
  </r>
  <r>
    <n v="1078"/>
    <s v="Megan Mitchell"/>
    <x v="1"/>
    <x v="1"/>
    <d v="2025-11-27T00:00:00"/>
    <d v="2024-05-18T00:00:00"/>
    <x v="104"/>
    <x v="1"/>
    <n v="393.31"/>
    <x v="1"/>
    <x v="1"/>
    <x v="1"/>
    <n v="558"/>
  </r>
  <r>
    <n v="1027"/>
    <s v="Benjamin Hughes"/>
    <x v="20"/>
    <x v="0"/>
    <d v="2026-03-02T00:00:00"/>
    <d v="2025-12-17T00:00:00"/>
    <x v="105"/>
    <x v="0"/>
    <n v="166.66"/>
    <x v="0"/>
    <x v="0"/>
    <x v="5"/>
    <n v="75"/>
  </r>
  <r>
    <n v="1062"/>
    <s v="John Anderson"/>
    <x v="47"/>
    <x v="1"/>
    <d v="2026-01-27T00:00:00"/>
    <d v="2026-01-18T00:00:00"/>
    <x v="106"/>
    <x v="0"/>
    <n v="283.83"/>
    <x v="1"/>
    <x v="0"/>
    <x v="4"/>
    <n v="9"/>
  </r>
  <r>
    <n v="1015"/>
    <s v="Chelsea Matthews"/>
    <x v="9"/>
    <x v="0"/>
    <d v="2025-12-07T00:00:00"/>
    <d v="2025-03-24T00:00:00"/>
    <x v="107"/>
    <x v="1"/>
    <n v="402.95"/>
    <x v="0"/>
    <x v="1"/>
    <x v="1"/>
    <n v="258"/>
  </r>
  <r>
    <n v="1018"/>
    <s v="Monica Horton"/>
    <x v="55"/>
    <x v="2"/>
    <d v="2025-10-11T00:00:00"/>
    <d v="2024-03-30T00:00:00"/>
    <x v="108"/>
    <x v="2"/>
    <n v="277.20999999999998"/>
    <x v="0"/>
    <x v="1"/>
    <x v="4"/>
    <n v="560"/>
  </r>
  <r>
    <n v="1061"/>
    <s v="Joanna Tucker"/>
    <x v="25"/>
    <x v="1"/>
    <d v="2026-03-22T00:00:00"/>
    <d v="2024-10-05T00:00:00"/>
    <x v="109"/>
    <x v="2"/>
    <n v="112.64"/>
    <x v="1"/>
    <x v="0"/>
    <x v="3"/>
    <n v="533"/>
  </r>
  <r>
    <n v="1013"/>
    <s v="Dr. Peggy Mendoza"/>
    <x v="47"/>
    <x v="0"/>
    <d v="2025-04-12T00:00:00"/>
    <d v="2025-01-23T00:00:00"/>
    <x v="110"/>
    <x v="2"/>
    <n v="108.57"/>
    <x v="0"/>
    <x v="1"/>
    <x v="4"/>
    <n v="79"/>
  </r>
  <r>
    <n v="1087"/>
    <s v="Victoria Gomez"/>
    <x v="14"/>
    <x v="0"/>
    <d v="2025-06-26T00:00:00"/>
    <d v="2025-05-19T00:00:00"/>
    <x v="111"/>
    <x v="3"/>
    <n v="2.2599999999999998"/>
    <x v="0"/>
    <x v="1"/>
    <x v="0"/>
    <n v="38"/>
  </r>
  <r>
    <n v="1090"/>
    <s v="Daniel Rivera"/>
    <x v="41"/>
    <x v="0"/>
    <d v="2025-12-28T00:00:00"/>
    <d v="2025-12-22T00:00:00"/>
    <x v="112"/>
    <x v="2"/>
    <n v="1.71"/>
    <x v="0"/>
    <x v="1"/>
    <x v="1"/>
    <n v="6"/>
  </r>
  <r>
    <n v="1086"/>
    <s v="Harry Wallace"/>
    <x v="56"/>
    <x v="0"/>
    <d v="2025-12-01T00:00:00"/>
    <d v="2024-10-28T00:00:00"/>
    <x v="113"/>
    <x v="1"/>
    <n v="493"/>
    <x v="0"/>
    <x v="1"/>
    <x v="0"/>
    <n v="399"/>
  </r>
  <r>
    <n v="1047"/>
    <s v="Alicia Scott"/>
    <x v="45"/>
    <x v="1"/>
    <d v="2025-11-22T00:00:00"/>
    <d v="2024-11-14T00:00:00"/>
    <x v="114"/>
    <x v="2"/>
    <n v="243.15"/>
    <x v="1"/>
    <x v="1"/>
    <x v="5"/>
    <n v="373"/>
  </r>
  <r>
    <n v="1014"/>
    <s v="Melissa Lane"/>
    <x v="16"/>
    <x v="0"/>
    <d v="2025-06-01T00:00:00"/>
    <d v="2024-08-19T00:00:00"/>
    <x v="115"/>
    <x v="0"/>
    <n v="137.31"/>
    <x v="1"/>
    <x v="1"/>
    <x v="6"/>
    <n v="286"/>
  </r>
  <r>
    <n v="1047"/>
    <s v="Olivia Lambert"/>
    <x v="48"/>
    <x v="1"/>
    <d v="2025-12-15T00:00:00"/>
    <d v="2024-12-25T00:00:00"/>
    <x v="116"/>
    <x v="0"/>
    <n v="133.44999999999999"/>
    <x v="0"/>
    <x v="1"/>
    <x v="5"/>
    <n v="355"/>
  </r>
  <r>
    <n v="1073"/>
    <s v="Russell Taylor"/>
    <x v="48"/>
    <x v="0"/>
    <d v="2025-11-29T00:00:00"/>
    <d v="2025-07-11T00:00:00"/>
    <x v="117"/>
    <x v="1"/>
    <n v="3.69"/>
    <x v="1"/>
    <x v="1"/>
    <x v="5"/>
    <n v="141"/>
  </r>
  <r>
    <n v="1093"/>
    <s v="Joshua Sanchez DDS"/>
    <x v="2"/>
    <x v="0"/>
    <d v="2025-03-29T00:00:00"/>
    <d v="2024-06-27T00:00:00"/>
    <x v="118"/>
    <x v="1"/>
    <n v="205.21"/>
    <x v="0"/>
    <x v="1"/>
    <x v="0"/>
    <n v="275"/>
  </r>
  <r>
    <n v="1027"/>
    <s v="Kayla Drake"/>
    <x v="8"/>
    <x v="0"/>
    <d v="2025-12-27T00:00:00"/>
    <d v="2025-05-27T00:00:00"/>
    <x v="119"/>
    <x v="1"/>
    <n v="412.07"/>
    <x v="1"/>
    <x v="1"/>
    <x v="4"/>
    <n v="214"/>
  </r>
  <r>
    <n v="1037"/>
    <s v="Karen Carter"/>
    <x v="6"/>
    <x v="0"/>
    <d v="2026-02-28T00:00:00"/>
    <d v="2025-03-22T00:00:00"/>
    <x v="120"/>
    <x v="2"/>
    <n v="4.41"/>
    <x v="0"/>
    <x v="0"/>
    <x v="3"/>
    <n v="343"/>
  </r>
  <r>
    <n v="1021"/>
    <s v="Andrew Baker"/>
    <x v="57"/>
    <x v="0"/>
    <d v="2025-05-04T00:00:00"/>
    <d v="2024-07-11T00:00:00"/>
    <x v="121"/>
    <x v="3"/>
    <n v="486.57"/>
    <x v="0"/>
    <x v="1"/>
    <x v="3"/>
    <n v="297"/>
  </r>
  <r>
    <n v="1007"/>
    <s v="Richard Hernandez"/>
    <x v="22"/>
    <x v="1"/>
    <d v="2025-11-16T00:00:00"/>
    <d v="2025-09-18T00:00:00"/>
    <x v="122"/>
    <x v="3"/>
    <n v="641.39"/>
    <x v="1"/>
    <x v="1"/>
    <x v="3"/>
    <n v="59"/>
  </r>
  <r>
    <n v="1043"/>
    <s v="Matthew Rivera"/>
    <x v="52"/>
    <x v="1"/>
    <d v="2025-07-03T00:00:00"/>
    <d v="2025-04-26T00:00:00"/>
    <x v="123"/>
    <x v="1"/>
    <n v="286.52"/>
    <x v="1"/>
    <x v="1"/>
    <x v="5"/>
    <n v="68"/>
  </r>
  <r>
    <n v="1081"/>
    <s v="Benjamin Jenkins"/>
    <x v="23"/>
    <x v="1"/>
    <d v="2025-07-23T00:00:00"/>
    <d v="2025-04-22T00:00:00"/>
    <x v="124"/>
    <x v="3"/>
    <n v="289.08999999999997"/>
    <x v="1"/>
    <x v="1"/>
    <x v="6"/>
    <n v="92"/>
  </r>
  <r>
    <n v="1053"/>
    <s v="John Johnson"/>
    <x v="16"/>
    <x v="2"/>
    <d v="2025-04-23T00:00:00"/>
    <d v="2024-12-30T00:00:00"/>
    <x v="125"/>
    <x v="3"/>
    <n v="162.94"/>
    <x v="1"/>
    <x v="1"/>
    <x v="6"/>
    <n v="114"/>
  </r>
  <r>
    <n v="1035"/>
    <s v="Martha Zavala"/>
    <x v="44"/>
    <x v="1"/>
    <d v="2026-01-23T00:00:00"/>
    <d v="2024-04-14T00:00:00"/>
    <x v="126"/>
    <x v="0"/>
    <n v="203.56"/>
    <x v="0"/>
    <x v="0"/>
    <x v="4"/>
    <n v="649"/>
  </r>
  <r>
    <n v="1036"/>
    <s v="Daniel Ballard"/>
    <x v="48"/>
    <x v="1"/>
    <d v="2025-03-26T00:00:00"/>
    <d v="2025-03-02T00:00:00"/>
    <x v="127"/>
    <x v="0"/>
    <n v="152.47"/>
    <x v="1"/>
    <x v="1"/>
    <x v="5"/>
    <n v="24"/>
  </r>
  <r>
    <n v="1052"/>
    <s v="Mariah Davis"/>
    <x v="6"/>
    <x v="0"/>
    <d v="2025-10-24T00:00:00"/>
    <d v="2025-01-06T00:00:00"/>
    <x v="128"/>
    <x v="1"/>
    <n v="507.55"/>
    <x v="1"/>
    <x v="1"/>
    <x v="3"/>
    <n v="291"/>
  </r>
  <r>
    <n v="1058"/>
    <s v="Timothy Osborne"/>
    <x v="58"/>
    <x v="0"/>
    <d v="2025-12-18T00:00:00"/>
    <d v="2025-04-21T00:00:00"/>
    <x v="129"/>
    <x v="2"/>
    <n v="286.56"/>
    <x v="0"/>
    <x v="1"/>
    <x v="6"/>
    <n v="241"/>
  </r>
  <r>
    <n v="1074"/>
    <s v="Kelsey Collins"/>
    <x v="30"/>
    <x v="0"/>
    <d v="2025-04-24T00:00:00"/>
    <d v="2024-10-08T00:00:00"/>
    <x v="130"/>
    <x v="2"/>
    <n v="455.75"/>
    <x v="1"/>
    <x v="1"/>
    <x v="3"/>
    <n v="198"/>
  </r>
  <r>
    <n v="1018"/>
    <s v="David Kramer"/>
    <x v="8"/>
    <x v="0"/>
    <d v="2026-03-25T00:00:00"/>
    <d v="2024-09-05T00:00:00"/>
    <x v="131"/>
    <x v="3"/>
    <n v="433.54"/>
    <x v="0"/>
    <x v="0"/>
    <x v="4"/>
    <n v="566"/>
  </r>
  <r>
    <n v="1033"/>
    <s v="Patricia King"/>
    <x v="9"/>
    <x v="1"/>
    <d v="2025-10-28T00:00:00"/>
    <d v="2024-10-16T00:00:00"/>
    <x v="69"/>
    <x v="3"/>
    <n v="468.06"/>
    <x v="0"/>
    <x v="1"/>
    <x v="1"/>
    <n v="377"/>
  </r>
  <r>
    <n v="1045"/>
    <s v="Sheri Kline"/>
    <x v="33"/>
    <x v="0"/>
    <d v="2026-01-02T00:00:00"/>
    <d v="2024-04-11T00:00:00"/>
    <x v="132"/>
    <x v="3"/>
    <n v="501.6"/>
    <x v="0"/>
    <x v="0"/>
    <x v="4"/>
    <n v="631"/>
  </r>
  <r>
    <n v="1087"/>
    <s v="Troy White"/>
    <x v="56"/>
    <x v="1"/>
    <d v="2026-01-07T00:00:00"/>
    <d v="2024-05-26T00:00:00"/>
    <x v="133"/>
    <x v="2"/>
    <n v="87.2"/>
    <x v="1"/>
    <x v="0"/>
    <x v="0"/>
    <n v="591"/>
  </r>
  <r>
    <n v="1043"/>
    <s v="David Young"/>
    <x v="44"/>
    <x v="1"/>
    <d v="2025-11-06T00:00:00"/>
    <d v="2025-05-15T00:00:00"/>
    <x v="134"/>
    <x v="0"/>
    <n v="226.97"/>
    <x v="1"/>
    <x v="1"/>
    <x v="4"/>
    <n v="175"/>
  </r>
  <r>
    <n v="1020"/>
    <s v="Tim Flowers"/>
    <x v="52"/>
    <x v="1"/>
    <d v="2025-09-29T00:00:00"/>
    <d v="2024-11-04T00:00:00"/>
    <x v="135"/>
    <x v="2"/>
    <n v="1.54"/>
    <x v="0"/>
    <x v="1"/>
    <x v="5"/>
    <n v="329"/>
  </r>
  <r>
    <n v="1089"/>
    <s v="Gregory Garcia"/>
    <x v="59"/>
    <x v="0"/>
    <d v="2025-05-01T00:00:00"/>
    <d v="2024-07-25T00:00:00"/>
    <x v="136"/>
    <x v="0"/>
    <n v="466.08"/>
    <x v="1"/>
    <x v="1"/>
    <x v="0"/>
    <n v="280"/>
  </r>
  <r>
    <n v="1005"/>
    <s v="Max Martinez"/>
    <x v="41"/>
    <x v="1"/>
    <d v="2025-09-21T00:00:00"/>
    <d v="2024-11-05T00:00:00"/>
    <x v="137"/>
    <x v="0"/>
    <n v="3.87"/>
    <x v="0"/>
    <x v="1"/>
    <x v="1"/>
    <n v="320"/>
  </r>
  <r>
    <n v="1031"/>
    <s v="Paul Hinton"/>
    <x v="37"/>
    <x v="0"/>
    <d v="2026-01-02T00:00:00"/>
    <d v="2025-11-29T00:00:00"/>
    <x v="138"/>
    <x v="2"/>
    <n v="461.19"/>
    <x v="1"/>
    <x v="0"/>
    <x v="2"/>
    <n v="34"/>
  </r>
  <r>
    <n v="1069"/>
    <s v="Thomas Landry"/>
    <x v="47"/>
    <x v="1"/>
    <d v="2025-09-03T00:00:00"/>
    <d v="2025-08-01T00:00:00"/>
    <x v="139"/>
    <x v="3"/>
    <s v=""/>
    <x v="1"/>
    <x v="1"/>
    <x v="4"/>
    <n v="33"/>
  </r>
  <r>
    <n v="1093"/>
    <s v="Alexander Le"/>
    <x v="60"/>
    <x v="0"/>
    <d v="2026-01-20T00:00:00"/>
    <d v="2024-04-04T00:00:00"/>
    <x v="140"/>
    <x v="2"/>
    <n v="335.45"/>
    <x v="0"/>
    <x v="0"/>
    <x v="0"/>
    <n v="656"/>
  </r>
  <r>
    <n v="1073"/>
    <s v="Joseph Irwin"/>
    <x v="36"/>
    <x v="1"/>
    <d v="2025-07-27T00:00:00"/>
    <d v="2025-06-08T00:00:00"/>
    <x v="141"/>
    <x v="3"/>
    <n v="274.95999999999998"/>
    <x v="0"/>
    <x v="1"/>
    <x v="3"/>
    <n v="49"/>
  </r>
  <r>
    <n v="1040"/>
    <s v="Corey Smith"/>
    <x v="61"/>
    <x v="1"/>
    <d v="2025-05-18T00:00:00"/>
    <d v="2025-02-15T00:00:00"/>
    <x v="142"/>
    <x v="0"/>
    <n v="130.69999999999999"/>
    <x v="1"/>
    <x v="1"/>
    <x v="4"/>
    <n v="92"/>
  </r>
  <r>
    <n v="1066"/>
    <s v="Brandon Baker"/>
    <x v="8"/>
    <x v="1"/>
    <d v="2025-08-12T00:00:00"/>
    <d v="2025-07-25T00:00:00"/>
    <x v="143"/>
    <x v="3"/>
    <n v="141.41999999999999"/>
    <x v="0"/>
    <x v="1"/>
    <x v="4"/>
    <n v="18"/>
  </r>
  <r>
    <n v="1047"/>
    <s v="John Campbell"/>
    <x v="27"/>
    <x v="0"/>
    <d v="2026-02-10T00:00:00"/>
    <d v="2024-06-21T00:00:00"/>
    <x v="144"/>
    <x v="1"/>
    <s v=""/>
    <x v="1"/>
    <x v="0"/>
    <x v="1"/>
    <n v="599"/>
  </r>
  <r>
    <n v="1021"/>
    <s v="Craig Hunt"/>
    <x v="48"/>
    <x v="0"/>
    <d v="2025-11-01T00:00:00"/>
    <d v="2024-05-25T00:00:00"/>
    <x v="145"/>
    <x v="2"/>
    <n v="122.56"/>
    <x v="0"/>
    <x v="1"/>
    <x v="5"/>
    <n v="525"/>
  </r>
  <r>
    <n v="1072"/>
    <s v="Lisa Cameron"/>
    <x v="31"/>
    <x v="1"/>
    <d v="2025-08-14T00:00:00"/>
    <d v="2025-08-11T00:00:00"/>
    <x v="146"/>
    <x v="0"/>
    <n v="317.62"/>
    <x v="1"/>
    <x v="1"/>
    <x v="5"/>
    <n v="3"/>
  </r>
  <r>
    <n v="1011"/>
    <s v="Nathaniel Wood"/>
    <x v="15"/>
    <x v="1"/>
    <d v="2025-04-29T00:00:00"/>
    <d v="2025-04-07T00:00:00"/>
    <x v="147"/>
    <x v="3"/>
    <n v="4.55"/>
    <x v="0"/>
    <x v="1"/>
    <x v="1"/>
    <n v="22"/>
  </r>
  <r>
    <n v="1097"/>
    <s v="Dr. Lindsey Arias DDS"/>
    <x v="42"/>
    <x v="0"/>
    <d v="2025-09-14T00:00:00"/>
    <d v="2024-11-28T00:00:00"/>
    <x v="148"/>
    <x v="0"/>
    <n v="102.89"/>
    <x v="1"/>
    <x v="1"/>
    <x v="2"/>
    <n v="290"/>
  </r>
  <r>
    <n v="1028"/>
    <s v="Timothy Matthews"/>
    <x v="18"/>
    <x v="1"/>
    <d v="2025-10-30T00:00:00"/>
    <d v="2024-05-18T00:00:00"/>
    <x v="149"/>
    <x v="1"/>
    <n v="543.76"/>
    <x v="1"/>
    <x v="1"/>
    <x v="4"/>
    <n v="530"/>
  </r>
  <r>
    <n v="1057"/>
    <s v="Katelyn Byrd"/>
    <x v="20"/>
    <x v="1"/>
    <d v="2025-03-30T00:00:00"/>
    <d v="2024-05-03T00:00:00"/>
    <x v="150"/>
    <x v="3"/>
    <n v="279.05"/>
    <x v="0"/>
    <x v="1"/>
    <x v="5"/>
    <n v="331"/>
  </r>
  <r>
    <n v="1002"/>
    <s v="Jeffrey Bates"/>
    <x v="43"/>
    <x v="1"/>
    <d v="2025-04-08T00:00:00"/>
    <d v="2024-12-04T00:00:00"/>
    <x v="151"/>
    <x v="0"/>
    <n v="401.55"/>
    <x v="0"/>
    <x v="1"/>
    <x v="6"/>
    <n v="125"/>
  </r>
  <r>
    <n v="1065"/>
    <s v="Kevin Johnson"/>
    <x v="25"/>
    <x v="0"/>
    <d v="2025-10-25T00:00:00"/>
    <d v="2024-09-03T00:00:00"/>
    <x v="152"/>
    <x v="2"/>
    <n v="3.12"/>
    <x v="1"/>
    <x v="1"/>
    <x v="3"/>
    <n v="417"/>
  </r>
  <r>
    <n v="1026"/>
    <s v="Kelly Mcknight"/>
    <x v="43"/>
    <x v="1"/>
    <d v="2026-02-03T00:00:00"/>
    <d v="2025-07-12T00:00:00"/>
    <x v="153"/>
    <x v="2"/>
    <n v="194.45"/>
    <x v="0"/>
    <x v="0"/>
    <x v="6"/>
    <n v="206"/>
  </r>
  <r>
    <n v="1100"/>
    <s v="Jamie Wright"/>
    <x v="40"/>
    <x v="0"/>
    <d v="2025-04-03T00:00:00"/>
    <d v="2025-03-18T00:00:00"/>
    <x v="154"/>
    <x v="1"/>
    <n v="236.52"/>
    <x v="0"/>
    <x v="1"/>
    <x v="1"/>
    <n v="16"/>
  </r>
  <r>
    <n v="1066"/>
    <s v="Kimberly Conner"/>
    <x v="23"/>
    <x v="0"/>
    <d v="2026-02-18T00:00:00"/>
    <d v="2024-10-12T00:00:00"/>
    <x v="155"/>
    <x v="0"/>
    <n v="634.4"/>
    <x v="0"/>
    <x v="0"/>
    <x v="6"/>
    <n v="494"/>
  </r>
  <r>
    <n v="1025"/>
    <s v="Kelli Page"/>
    <x v="62"/>
    <x v="1"/>
    <d v="2025-10-08T00:00:00"/>
    <d v="2025-03-24T00:00:00"/>
    <x v="156"/>
    <x v="1"/>
    <n v="248.33"/>
    <x v="1"/>
    <x v="1"/>
    <x v="3"/>
    <n v="198"/>
  </r>
  <r>
    <n v="1038"/>
    <s v="Deanna Abbott"/>
    <x v="28"/>
    <x v="0"/>
    <d v="2025-09-04T00:00:00"/>
    <d v="2025-05-08T00:00:00"/>
    <x v="157"/>
    <x v="1"/>
    <n v="256.25"/>
    <x v="0"/>
    <x v="1"/>
    <x v="2"/>
    <n v="119"/>
  </r>
  <r>
    <n v="1038"/>
    <s v="Lindsay Rodriguez"/>
    <x v="45"/>
    <x v="1"/>
    <d v="2025-10-23T00:00:00"/>
    <d v="2025-07-18T00:00:00"/>
    <x v="158"/>
    <x v="1"/>
    <s v=""/>
    <x v="1"/>
    <x v="1"/>
    <x v="5"/>
    <n v="97"/>
  </r>
  <r>
    <n v="1000"/>
    <s v="Christopher Singleton"/>
    <x v="16"/>
    <x v="0"/>
    <d v="2025-10-26T00:00:00"/>
    <d v="2025-02-19T00:00:00"/>
    <x v="159"/>
    <x v="3"/>
    <n v="65.06"/>
    <x v="0"/>
    <x v="1"/>
    <x v="6"/>
    <n v="249"/>
  </r>
  <r>
    <n v="1008"/>
    <s v="Michael Walsh"/>
    <x v="1"/>
    <x v="0"/>
    <d v="2025-05-08T00:00:00"/>
    <d v="2025-01-24T00:00:00"/>
    <x v="160"/>
    <x v="2"/>
    <n v="155.80000000000001"/>
    <x v="0"/>
    <x v="1"/>
    <x v="1"/>
    <n v="104"/>
  </r>
  <r>
    <n v="1078"/>
    <s v="Caroline Reed"/>
    <x v="8"/>
    <x v="0"/>
    <d v="2025-07-29T00:00:00"/>
    <d v="2024-06-06T00:00:00"/>
    <x v="161"/>
    <x v="2"/>
    <n v="4.7699999999999996"/>
    <x v="1"/>
    <x v="1"/>
    <x v="4"/>
    <n v="418"/>
  </r>
  <r>
    <n v="1038"/>
    <s v="Jennifer Wells"/>
    <x v="2"/>
    <x v="0"/>
    <d v="2025-05-13T00:00:00"/>
    <d v="2024-09-02T00:00:00"/>
    <x v="162"/>
    <x v="1"/>
    <n v="82.84"/>
    <x v="1"/>
    <x v="1"/>
    <x v="0"/>
    <n v="253"/>
  </r>
  <r>
    <n v="1082"/>
    <s v="Gary Walker"/>
    <x v="43"/>
    <x v="2"/>
    <d v="2025-03-26T00:00:00"/>
    <d v="2024-03-26T00:00:00"/>
    <x v="163"/>
    <x v="1"/>
    <n v="2.38"/>
    <x v="0"/>
    <x v="1"/>
    <x v="6"/>
    <n v="365"/>
  </r>
  <r>
    <n v="1028"/>
    <s v="Michelle Johnson"/>
    <x v="54"/>
    <x v="1"/>
    <d v="2025-12-19T00:00:00"/>
    <d v="2025-07-01T00:00:00"/>
    <x v="164"/>
    <x v="3"/>
    <n v="552.14"/>
    <x v="0"/>
    <x v="1"/>
    <x v="3"/>
    <n v="171"/>
  </r>
  <r>
    <n v="1048"/>
    <s v="Malik Robinson"/>
    <x v="60"/>
    <x v="0"/>
    <d v="2025-10-21T00:00:00"/>
    <d v="2024-07-18T00:00:00"/>
    <x v="165"/>
    <x v="3"/>
    <n v="3.09"/>
    <x v="1"/>
    <x v="1"/>
    <x v="0"/>
    <n v="460"/>
  </r>
  <r>
    <n v="1035"/>
    <s v="Michael Glenn"/>
    <x v="47"/>
    <x v="1"/>
    <d v="2025-11-13T00:00:00"/>
    <d v="2025-06-23T00:00:00"/>
    <x v="166"/>
    <x v="0"/>
    <n v="99.19"/>
    <x v="1"/>
    <x v="1"/>
    <x v="4"/>
    <n v="143"/>
  </r>
  <r>
    <n v="1010"/>
    <s v="Anthony Cortez"/>
    <x v="7"/>
    <x v="1"/>
    <d v="2025-05-25T00:00:00"/>
    <d v="2025-03-28T00:00:00"/>
    <x v="167"/>
    <x v="3"/>
    <n v="225.83"/>
    <x v="0"/>
    <x v="1"/>
    <x v="4"/>
    <n v="58"/>
  </r>
  <r>
    <n v="1043"/>
    <s v="Daniel Cole"/>
    <x v="1"/>
    <x v="1"/>
    <d v="2025-05-06T00:00:00"/>
    <d v="2024-09-28T00:00:00"/>
    <x v="168"/>
    <x v="0"/>
    <n v="458.12"/>
    <x v="0"/>
    <x v="1"/>
    <x v="1"/>
    <n v="220"/>
  </r>
  <r>
    <n v="1083"/>
    <s v="Matthew Lloyd"/>
    <x v="44"/>
    <x v="1"/>
    <d v="2026-01-17T00:00:00"/>
    <d v="2025-07-21T00:00:00"/>
    <x v="169"/>
    <x v="0"/>
    <n v="274.14999999999998"/>
    <x v="1"/>
    <x v="0"/>
    <x v="4"/>
    <n v="180"/>
  </r>
  <r>
    <n v="1026"/>
    <s v="Jason Hicks"/>
    <x v="23"/>
    <x v="0"/>
    <d v="2025-12-17T00:00:00"/>
    <d v="2025-09-19T00:00:00"/>
    <x v="170"/>
    <x v="1"/>
    <n v="370.01"/>
    <x v="1"/>
    <x v="1"/>
    <x v="6"/>
    <n v="89"/>
  </r>
  <r>
    <n v="1046"/>
    <s v="Stephanie Cisneros"/>
    <x v="34"/>
    <x v="0"/>
    <d v="2025-12-03T00:00:00"/>
    <d v="2024-08-02T00:00:00"/>
    <x v="171"/>
    <x v="1"/>
    <n v="130.53"/>
    <x v="0"/>
    <x v="1"/>
    <x v="2"/>
    <n v="488"/>
  </r>
  <r>
    <n v="1084"/>
    <s v="Troy Taylor"/>
    <x v="61"/>
    <x v="2"/>
    <d v="2025-12-28T00:00:00"/>
    <d v="2025-02-24T00:00:00"/>
    <x v="172"/>
    <x v="3"/>
    <n v="618.04"/>
    <x v="0"/>
    <x v="1"/>
    <x v="4"/>
    <n v="307"/>
  </r>
  <r>
    <n v="1006"/>
    <s v="Charles Cruz"/>
    <x v="8"/>
    <x v="0"/>
    <d v="2026-01-27T00:00:00"/>
    <d v="2024-09-01T00:00:00"/>
    <x v="173"/>
    <x v="1"/>
    <n v="121.89"/>
    <x v="1"/>
    <x v="0"/>
    <x v="4"/>
    <n v="513"/>
  </r>
  <r>
    <n v="1015"/>
    <s v="Brenda Ward"/>
    <x v="63"/>
    <x v="0"/>
    <d v="2025-11-26T00:00:00"/>
    <d v="2025-08-25T00:00:00"/>
    <x v="174"/>
    <x v="2"/>
    <n v="4.68"/>
    <x v="0"/>
    <x v="1"/>
    <x v="2"/>
    <n v="93"/>
  </r>
  <r>
    <n v="1091"/>
    <s v="David Martinez"/>
    <x v="56"/>
    <x v="1"/>
    <d v="2025-09-13T00:00:00"/>
    <d v="2025-07-07T00:00:00"/>
    <x v="175"/>
    <x v="0"/>
    <s v=""/>
    <x v="0"/>
    <x v="1"/>
    <x v="0"/>
    <n v="68"/>
  </r>
  <r>
    <n v="1024"/>
    <s v="Alex Webster"/>
    <x v="21"/>
    <x v="1"/>
    <d v="2026-02-11T00:00:00"/>
    <d v="2024-12-24T00:00:00"/>
    <x v="176"/>
    <x v="1"/>
    <n v="157.76"/>
    <x v="0"/>
    <x v="0"/>
    <x v="5"/>
    <n v="414"/>
  </r>
  <r>
    <n v="1033"/>
    <s v="Carl Sanchez"/>
    <x v="43"/>
    <x v="0"/>
    <d v="2025-04-06T00:00:00"/>
    <d v="2024-08-02T00:00:00"/>
    <x v="177"/>
    <x v="1"/>
    <n v="446.06"/>
    <x v="1"/>
    <x v="1"/>
    <x v="6"/>
    <n v="247"/>
  </r>
  <r>
    <n v="1010"/>
    <s v="Lucas Ray"/>
    <x v="46"/>
    <x v="0"/>
    <d v="2026-02-12T00:00:00"/>
    <d v="2025-02-07T00:00:00"/>
    <x v="178"/>
    <x v="2"/>
    <n v="184.32"/>
    <x v="0"/>
    <x v="0"/>
    <x v="3"/>
    <n v="370"/>
  </r>
  <r>
    <n v="1082"/>
    <s v="Cynthia Wells"/>
    <x v="31"/>
    <x v="1"/>
    <d v="2025-11-17T00:00:00"/>
    <d v="2025-01-07T00:00:00"/>
    <x v="179"/>
    <x v="1"/>
    <n v="596.64"/>
    <x v="1"/>
    <x v="1"/>
    <x v="5"/>
    <n v="314"/>
  </r>
  <r>
    <n v="1096"/>
    <s v="Dwayne Clarke"/>
    <x v="24"/>
    <x v="1"/>
    <d v="2025-08-12T00:00:00"/>
    <d v="2024-09-08T00:00:00"/>
    <x v="180"/>
    <x v="2"/>
    <n v="169.05"/>
    <x v="1"/>
    <x v="1"/>
    <x v="2"/>
    <n v="338"/>
  </r>
  <r>
    <n v="1011"/>
    <s v="James Jimenez"/>
    <x v="55"/>
    <x v="1"/>
    <d v="2025-10-26T00:00:00"/>
    <d v="2025-09-14T00:00:00"/>
    <x v="181"/>
    <x v="2"/>
    <n v="379.89"/>
    <x v="1"/>
    <x v="1"/>
    <x v="4"/>
    <n v="42"/>
  </r>
  <r>
    <n v="1002"/>
    <s v="Dr. Michele Copeland"/>
    <x v="35"/>
    <x v="1"/>
    <d v="2025-09-25T00:00:00"/>
    <d v="2024-05-24T00:00:00"/>
    <x v="182"/>
    <x v="2"/>
    <n v="209.75"/>
    <x v="0"/>
    <x v="1"/>
    <x v="5"/>
    <n v="489"/>
  </r>
  <r>
    <n v="1016"/>
    <s v="Travis Allen MD"/>
    <x v="64"/>
    <x v="1"/>
    <d v="2025-06-22T00:00:00"/>
    <d v="2024-06-18T00:00:00"/>
    <x v="183"/>
    <x v="1"/>
    <n v="176.58"/>
    <x v="0"/>
    <x v="1"/>
    <x v="2"/>
    <n v="369"/>
  </r>
  <r>
    <n v="1077"/>
    <s v="Bradley Fuller"/>
    <x v="58"/>
    <x v="1"/>
    <d v="2025-05-13T00:00:00"/>
    <d v="2025-02-28T00:00:00"/>
    <x v="184"/>
    <x v="3"/>
    <n v="0.77"/>
    <x v="0"/>
    <x v="1"/>
    <x v="6"/>
    <n v="74"/>
  </r>
  <r>
    <n v="1026"/>
    <s v="Miss Crystal Davis DDS"/>
    <x v="62"/>
    <x v="0"/>
    <d v="2025-07-07T00:00:00"/>
    <d v="2024-06-06T00:00:00"/>
    <x v="185"/>
    <x v="3"/>
    <n v="652.42999999999995"/>
    <x v="0"/>
    <x v="1"/>
    <x v="3"/>
    <n v="396"/>
  </r>
  <r>
    <n v="1052"/>
    <s v="Kara White"/>
    <x v="65"/>
    <x v="0"/>
    <d v="2026-03-14T00:00:00"/>
    <d v="2025-01-26T00:00:00"/>
    <x v="186"/>
    <x v="1"/>
    <n v="353.52"/>
    <x v="1"/>
    <x v="0"/>
    <x v="4"/>
    <n v="412"/>
  </r>
  <r>
    <n v="1040"/>
    <s v="Briana Guerrero"/>
    <x v="66"/>
    <x v="0"/>
    <d v="2026-01-19T00:00:00"/>
    <d v="2024-03-30T00:00:00"/>
    <x v="187"/>
    <x v="3"/>
    <n v="307.33999999999997"/>
    <x v="0"/>
    <x v="0"/>
    <x v="5"/>
    <n v="660"/>
  </r>
  <r>
    <n v="1068"/>
    <s v="Judy Nguyen"/>
    <x v="36"/>
    <x v="1"/>
    <d v="2025-05-27T00:00:00"/>
    <d v="2024-10-23T00:00:00"/>
    <x v="188"/>
    <x v="3"/>
    <n v="429.14"/>
    <x v="0"/>
    <x v="1"/>
    <x v="3"/>
    <n v="216"/>
  </r>
  <r>
    <n v="1013"/>
    <s v="Sandra Murphy"/>
    <x v="62"/>
    <x v="1"/>
    <d v="2025-11-01T00:00:00"/>
    <d v="2024-07-29T00:00:00"/>
    <x v="189"/>
    <x v="1"/>
    <n v="1.02"/>
    <x v="1"/>
    <x v="1"/>
    <x v="3"/>
    <n v="460"/>
  </r>
  <r>
    <n v="1024"/>
    <s v="Debra Ford"/>
    <x v="66"/>
    <x v="0"/>
    <d v="2026-02-22T00:00:00"/>
    <d v="2025-09-19T00:00:00"/>
    <x v="190"/>
    <x v="1"/>
    <n v="614.21"/>
    <x v="0"/>
    <x v="0"/>
    <x v="5"/>
    <n v="156"/>
  </r>
  <r>
    <n v="1033"/>
    <s v="Michelle Harris"/>
    <x v="18"/>
    <x v="0"/>
    <d v="2025-11-07T00:00:00"/>
    <d v="2024-12-06T00:00:00"/>
    <x v="191"/>
    <x v="1"/>
    <n v="146.41"/>
    <x v="0"/>
    <x v="1"/>
    <x v="4"/>
    <n v="336"/>
  </r>
  <r>
    <n v="1067"/>
    <s v="Ariel Davis"/>
    <x v="49"/>
    <x v="1"/>
    <d v="2025-10-25T00:00:00"/>
    <d v="2025-02-21T00:00:00"/>
    <x v="192"/>
    <x v="1"/>
    <n v="0.94"/>
    <x v="0"/>
    <x v="1"/>
    <x v="6"/>
    <n v="246"/>
  </r>
  <r>
    <n v="1045"/>
    <s v="Anna Garrett"/>
    <x v="54"/>
    <x v="0"/>
    <d v="2025-05-30T00:00:00"/>
    <d v="2025-03-20T00:00:00"/>
    <x v="193"/>
    <x v="2"/>
    <n v="442.29"/>
    <x v="0"/>
    <x v="1"/>
    <x v="3"/>
    <n v="71"/>
  </r>
  <r>
    <n v="1087"/>
    <s v="Kimberly Guzman"/>
    <x v="52"/>
    <x v="0"/>
    <d v="2025-11-18T00:00:00"/>
    <d v="2025-04-02T00:00:00"/>
    <x v="194"/>
    <x v="3"/>
    <s v=""/>
    <x v="0"/>
    <x v="1"/>
    <x v="5"/>
    <n v="230"/>
  </r>
  <r>
    <n v="1056"/>
    <s v="Terry Miller"/>
    <x v="54"/>
    <x v="0"/>
    <d v="2025-04-22T00:00:00"/>
    <d v="2025-03-24T00:00:00"/>
    <x v="195"/>
    <x v="3"/>
    <s v=""/>
    <x v="0"/>
    <x v="1"/>
    <x v="3"/>
    <n v="29"/>
  </r>
  <r>
    <n v="1053"/>
    <s v="Marissa Davidson"/>
    <x v="16"/>
    <x v="0"/>
    <d v="2025-04-13T00:00:00"/>
    <d v="2024-12-03T00:00:00"/>
    <x v="196"/>
    <x v="0"/>
    <n v="664.56"/>
    <x v="0"/>
    <x v="1"/>
    <x v="6"/>
    <n v="131"/>
  </r>
  <r>
    <n v="1059"/>
    <s v="Emma Martin"/>
    <x v="2"/>
    <x v="1"/>
    <d v="2025-08-24T00:00:00"/>
    <d v="2025-08-21T00:00:00"/>
    <x v="197"/>
    <x v="1"/>
    <n v="74.64"/>
    <x v="0"/>
    <x v="1"/>
    <x v="0"/>
    <n v="3"/>
  </r>
  <r>
    <n v="1050"/>
    <s v="William Lewis"/>
    <x v="20"/>
    <x v="1"/>
    <d v="2025-04-04T00:00:00"/>
    <d v="2024-05-16T00:00:00"/>
    <x v="198"/>
    <x v="1"/>
    <n v="3.97"/>
    <x v="0"/>
    <x v="1"/>
    <x v="5"/>
    <n v="323"/>
  </r>
  <r>
    <n v="1044"/>
    <s v="Robert Mclaughlin"/>
    <x v="46"/>
    <x v="0"/>
    <d v="2025-06-22T00:00:00"/>
    <d v="2024-06-09T00:00:00"/>
    <x v="199"/>
    <x v="1"/>
    <n v="273.06"/>
    <x v="1"/>
    <x v="1"/>
    <x v="3"/>
    <n v="378"/>
  </r>
  <r>
    <n v="1089"/>
    <s v="William Sparks"/>
    <x v="42"/>
    <x v="1"/>
    <d v="2025-03-26T00:00:00"/>
    <d v="2024-12-03T00:00:00"/>
    <x v="200"/>
    <x v="0"/>
    <n v="2.12"/>
    <x v="1"/>
    <x v="1"/>
    <x v="2"/>
    <n v="113"/>
  </r>
  <r>
    <n v="1074"/>
    <s v="David Kidd"/>
    <x v="13"/>
    <x v="1"/>
    <d v="2025-11-23T00:00:00"/>
    <d v="2025-09-10T00:00:00"/>
    <x v="201"/>
    <x v="1"/>
    <n v="427.38"/>
    <x v="1"/>
    <x v="1"/>
    <x v="3"/>
    <n v="74"/>
  </r>
  <r>
    <n v="1026"/>
    <s v="Brandon Martin"/>
    <x v="43"/>
    <x v="0"/>
    <d v="2026-02-06T00:00:00"/>
    <d v="2024-08-11T00:00:00"/>
    <x v="202"/>
    <x v="2"/>
    <n v="446.44"/>
    <x v="0"/>
    <x v="0"/>
    <x v="6"/>
    <n v="544"/>
  </r>
  <r>
    <n v="1059"/>
    <s v="Amanda Martinez"/>
    <x v="57"/>
    <x v="0"/>
    <d v="2025-08-23T00:00:00"/>
    <d v="2024-11-12T00:00:00"/>
    <x v="203"/>
    <x v="3"/>
    <n v="165.8"/>
    <x v="0"/>
    <x v="1"/>
    <x v="3"/>
    <n v="284"/>
  </r>
  <r>
    <n v="1065"/>
    <s v="Nancy Barry"/>
    <x v="67"/>
    <x v="0"/>
    <d v="2026-03-07T00:00:00"/>
    <d v="2025-03-30T00:00:00"/>
    <x v="204"/>
    <x v="0"/>
    <n v="5.43"/>
    <x v="0"/>
    <x v="0"/>
    <x v="0"/>
    <n v="342"/>
  </r>
  <r>
    <n v="1085"/>
    <s v="Clinton Estrada"/>
    <x v="68"/>
    <x v="1"/>
    <d v="2025-11-06T00:00:00"/>
    <d v="2024-10-14T00:00:00"/>
    <x v="205"/>
    <x v="1"/>
    <s v=""/>
    <x v="0"/>
    <x v="1"/>
    <x v="0"/>
    <n v="388"/>
  </r>
  <r>
    <n v="1024"/>
    <s v="Maria Douglas"/>
    <x v="23"/>
    <x v="1"/>
    <d v="2026-02-17T00:00:00"/>
    <d v="2026-01-15T00:00:00"/>
    <x v="206"/>
    <x v="1"/>
    <n v="548.4"/>
    <x v="0"/>
    <x v="0"/>
    <x v="6"/>
    <n v="33"/>
  </r>
  <r>
    <n v="1048"/>
    <s v="Walter Webb"/>
    <x v="66"/>
    <x v="2"/>
    <d v="2025-09-26T00:00:00"/>
    <d v="2024-09-03T00:00:00"/>
    <x v="207"/>
    <x v="2"/>
    <s v=""/>
    <x v="0"/>
    <x v="1"/>
    <x v="5"/>
    <n v="388"/>
  </r>
  <r>
    <n v="1069"/>
    <s v="Megan Avery"/>
    <x v="59"/>
    <x v="0"/>
    <d v="2026-01-08T00:00:00"/>
    <d v="2024-08-13T00:00:00"/>
    <x v="208"/>
    <x v="3"/>
    <n v="96.48"/>
    <x v="0"/>
    <x v="0"/>
    <x v="0"/>
    <n v="513"/>
  </r>
  <r>
    <n v="1071"/>
    <s v="Brianna Morris"/>
    <x v="59"/>
    <x v="1"/>
    <d v="2025-11-03T00:00:00"/>
    <d v="2024-04-26T00:00:00"/>
    <x v="209"/>
    <x v="1"/>
    <n v="473.52"/>
    <x v="0"/>
    <x v="1"/>
    <x v="0"/>
    <n v="556"/>
  </r>
  <r>
    <n v="1076"/>
    <s v="Judy Avila"/>
    <x v="46"/>
    <x v="0"/>
    <d v="2025-10-19T00:00:00"/>
    <d v="2025-08-02T00:00:00"/>
    <x v="210"/>
    <x v="1"/>
    <n v="3.63"/>
    <x v="0"/>
    <x v="1"/>
    <x v="3"/>
    <n v="78"/>
  </r>
  <r>
    <n v="1057"/>
    <s v="Erika Davis"/>
    <x v="50"/>
    <x v="1"/>
    <d v="2025-06-08T00:00:00"/>
    <d v="2025-06-06T00:00:00"/>
    <x v="211"/>
    <x v="2"/>
    <n v="586.16"/>
    <x v="1"/>
    <x v="1"/>
    <x v="3"/>
    <n v="2"/>
  </r>
  <r>
    <n v="1029"/>
    <s v="Jeffrey Solis"/>
    <x v="37"/>
    <x v="0"/>
    <d v="2025-05-15T00:00:00"/>
    <d v="2025-04-09T00:00:00"/>
    <x v="212"/>
    <x v="2"/>
    <n v="321.47000000000003"/>
    <x v="0"/>
    <x v="1"/>
    <x v="2"/>
    <n v="36"/>
  </r>
  <r>
    <n v="1049"/>
    <s v="Scott Graves"/>
    <x v="53"/>
    <x v="1"/>
    <d v="2026-01-10T00:00:00"/>
    <d v="2026-01-06T00:00:00"/>
    <x v="213"/>
    <x v="3"/>
    <n v="547.67999999999995"/>
    <x v="0"/>
    <x v="0"/>
    <x v="1"/>
    <n v="4"/>
  </r>
  <r>
    <n v="1049"/>
    <s v="Ellen Fitzpatrick"/>
    <x v="65"/>
    <x v="1"/>
    <d v="2025-11-14T00:00:00"/>
    <d v="2025-04-23T00:00:00"/>
    <x v="214"/>
    <x v="2"/>
    <n v="267.58"/>
    <x v="1"/>
    <x v="1"/>
    <x v="4"/>
    <n v="205"/>
  </r>
  <r>
    <n v="1076"/>
    <s v="Mark Harrison"/>
    <x v="54"/>
    <x v="0"/>
    <d v="2025-10-06T00:00:00"/>
    <d v="2024-06-13T00:00:00"/>
    <x v="215"/>
    <x v="1"/>
    <n v="174.1"/>
    <x v="0"/>
    <x v="1"/>
    <x v="3"/>
    <n v="480"/>
  </r>
  <r>
    <n v="1083"/>
    <s v="Daniel Barajas"/>
    <x v="18"/>
    <x v="0"/>
    <d v="2025-04-07T00:00:00"/>
    <d v="2025-01-08T00:00:00"/>
    <x v="216"/>
    <x v="2"/>
    <n v="314.47000000000003"/>
    <x v="0"/>
    <x v="1"/>
    <x v="4"/>
    <n v="89"/>
  </r>
  <r>
    <n v="1083"/>
    <s v="Christine Murphy"/>
    <x v="46"/>
    <x v="0"/>
    <d v="2025-08-18T00:00:00"/>
    <d v="2024-07-23T00:00:00"/>
    <x v="217"/>
    <x v="0"/>
    <n v="96.21"/>
    <x v="0"/>
    <x v="1"/>
    <x v="3"/>
    <n v="391"/>
  </r>
  <r>
    <n v="1091"/>
    <s v="Richard Wagner"/>
    <x v="22"/>
    <x v="1"/>
    <d v="2025-12-06T00:00:00"/>
    <d v="2025-11-25T00:00:00"/>
    <x v="218"/>
    <x v="3"/>
    <n v="302.93"/>
    <x v="0"/>
    <x v="1"/>
    <x v="3"/>
    <n v="11"/>
  </r>
  <r>
    <n v="1099"/>
    <s v="Eric Coffey"/>
    <x v="13"/>
    <x v="1"/>
    <d v="2025-08-28T00:00:00"/>
    <d v="2024-09-04T00:00:00"/>
    <x v="219"/>
    <x v="0"/>
    <n v="3.13"/>
    <x v="1"/>
    <x v="1"/>
    <x v="3"/>
    <n v="358"/>
  </r>
  <r>
    <n v="1098"/>
    <s v="Tony Gibbs"/>
    <x v="45"/>
    <x v="0"/>
    <d v="2025-11-01T00:00:00"/>
    <d v="2024-10-13T00:00:00"/>
    <x v="220"/>
    <x v="3"/>
    <n v="396.88"/>
    <x v="1"/>
    <x v="1"/>
    <x v="5"/>
    <n v="384"/>
  </r>
  <r>
    <n v="1060"/>
    <s v="Stephanie Bryant"/>
    <x v="20"/>
    <x v="2"/>
    <d v="2026-01-02T00:00:00"/>
    <d v="2025-02-18T00:00:00"/>
    <x v="221"/>
    <x v="1"/>
    <n v="602.08000000000004"/>
    <x v="0"/>
    <x v="0"/>
    <x v="5"/>
    <n v="318"/>
  </r>
  <r>
    <n v="1091"/>
    <s v="Eric Allen"/>
    <x v="27"/>
    <x v="1"/>
    <d v="2025-08-01T00:00:00"/>
    <d v="2025-05-09T00:00:00"/>
    <x v="222"/>
    <x v="2"/>
    <n v="438.67"/>
    <x v="1"/>
    <x v="1"/>
    <x v="1"/>
    <n v="84"/>
  </r>
  <r>
    <n v="1031"/>
    <s v="Robert Jimenez"/>
    <x v="13"/>
    <x v="1"/>
    <d v="2026-03-06T00:00:00"/>
    <d v="2024-07-20T00:00:00"/>
    <x v="223"/>
    <x v="0"/>
    <n v="504.96"/>
    <x v="0"/>
    <x v="0"/>
    <x v="3"/>
    <n v="594"/>
  </r>
  <r>
    <n v="1018"/>
    <s v="Chris Wells"/>
    <x v="67"/>
    <x v="1"/>
    <d v="2025-05-17T00:00:00"/>
    <d v="2024-12-25T00:00:00"/>
    <x v="224"/>
    <x v="2"/>
    <n v="1.46"/>
    <x v="0"/>
    <x v="1"/>
    <x v="0"/>
    <n v="143"/>
  </r>
  <r>
    <n v="1054"/>
    <s v="Danny Gray"/>
    <x v="9"/>
    <x v="1"/>
    <d v="2025-04-14T00:00:00"/>
    <d v="2025-02-13T00:00:00"/>
    <x v="225"/>
    <x v="3"/>
    <n v="223.5"/>
    <x v="1"/>
    <x v="1"/>
    <x v="1"/>
    <n v="60"/>
  </r>
  <r>
    <n v="1038"/>
    <s v="Alicia Davis"/>
    <x v="30"/>
    <x v="1"/>
    <d v="2025-03-31T00:00:00"/>
    <d v="2024-10-27T00:00:00"/>
    <x v="226"/>
    <x v="0"/>
    <n v="332.3"/>
    <x v="1"/>
    <x v="1"/>
    <x v="3"/>
    <n v="155"/>
  </r>
  <r>
    <n v="1067"/>
    <s v="Dr. John Hernandez"/>
    <x v="66"/>
    <x v="0"/>
    <d v="2025-12-29T00:00:00"/>
    <d v="2024-05-29T00:00:00"/>
    <x v="227"/>
    <x v="3"/>
    <n v="409.96"/>
    <x v="1"/>
    <x v="1"/>
    <x v="5"/>
    <n v="579"/>
  </r>
  <r>
    <n v="1070"/>
    <s v="Andres Mills"/>
    <x v="8"/>
    <x v="1"/>
    <d v="2025-06-23T00:00:00"/>
    <d v="2024-08-24T00:00:00"/>
    <x v="228"/>
    <x v="2"/>
    <n v="514.08000000000004"/>
    <x v="1"/>
    <x v="1"/>
    <x v="4"/>
    <n v="303"/>
  </r>
  <r>
    <n v="1097"/>
    <s v="Vanessa Allen"/>
    <x v="61"/>
    <x v="1"/>
    <d v="2026-01-09T00:00:00"/>
    <d v="2025-08-06T00:00:00"/>
    <x v="229"/>
    <x v="2"/>
    <n v="2.68"/>
    <x v="0"/>
    <x v="0"/>
    <x v="4"/>
    <n v="156"/>
  </r>
  <r>
    <n v="1056"/>
    <s v="Virginia Flores"/>
    <x v="11"/>
    <x v="0"/>
    <d v="2025-12-26T00:00:00"/>
    <d v="2025-08-13T00:00:00"/>
    <x v="230"/>
    <x v="3"/>
    <n v="364.83"/>
    <x v="0"/>
    <x v="1"/>
    <x v="1"/>
    <n v="135"/>
  </r>
  <r>
    <n v="1078"/>
    <s v="Mackenzie Walker"/>
    <x v="18"/>
    <x v="0"/>
    <d v="2025-03-27T00:00:00"/>
    <d v="2024-05-20T00:00:00"/>
    <x v="231"/>
    <x v="1"/>
    <n v="335.95"/>
    <x v="0"/>
    <x v="1"/>
    <x v="4"/>
    <n v="311"/>
  </r>
  <r>
    <n v="1031"/>
    <s v="Kayla Berger"/>
    <x v="36"/>
    <x v="0"/>
    <d v="2025-08-05T00:00:00"/>
    <d v="2024-09-27T00:00:00"/>
    <x v="232"/>
    <x v="1"/>
    <s v=""/>
    <x v="0"/>
    <x v="1"/>
    <x v="3"/>
    <n v="312"/>
  </r>
  <r>
    <n v="1035"/>
    <s v="Brian White"/>
    <x v="56"/>
    <x v="1"/>
    <d v="2025-08-03T00:00:00"/>
    <d v="2025-04-03T00:00:00"/>
    <x v="233"/>
    <x v="2"/>
    <n v="434.09"/>
    <x v="0"/>
    <x v="1"/>
    <x v="0"/>
    <n v="122"/>
  </r>
  <r>
    <n v="1079"/>
    <s v="Dale Fisher"/>
    <x v="54"/>
    <x v="1"/>
    <d v="2026-01-16T00:00:00"/>
    <d v="2024-04-20T00:00:00"/>
    <x v="234"/>
    <x v="0"/>
    <n v="3.96"/>
    <x v="1"/>
    <x v="0"/>
    <x v="3"/>
    <n v="636"/>
  </r>
  <r>
    <n v="1062"/>
    <s v="Brian Griffith"/>
    <x v="22"/>
    <x v="1"/>
    <d v="2025-06-15T00:00:00"/>
    <d v="2025-04-11T00:00:00"/>
    <x v="235"/>
    <x v="0"/>
    <n v="383.36"/>
    <x v="0"/>
    <x v="1"/>
    <x v="3"/>
    <n v="65"/>
  </r>
  <r>
    <n v="1006"/>
    <s v="Theresa Sanchez"/>
    <x v="18"/>
    <x v="0"/>
    <d v="2026-02-03T00:00:00"/>
    <d v="2024-08-16T00:00:00"/>
    <x v="236"/>
    <x v="3"/>
    <n v="320.8"/>
    <x v="0"/>
    <x v="0"/>
    <x v="4"/>
    <n v="536"/>
  </r>
  <r>
    <n v="1034"/>
    <s v="Kimberly Watson"/>
    <x v="47"/>
    <x v="0"/>
    <d v="2026-01-11T00:00:00"/>
    <d v="2025-07-25T00:00:00"/>
    <x v="237"/>
    <x v="2"/>
    <s v=""/>
    <x v="1"/>
    <x v="0"/>
    <x v="4"/>
    <n v="170"/>
  </r>
  <r>
    <n v="1021"/>
    <s v="Christopher Miller"/>
    <x v="69"/>
    <x v="1"/>
    <d v="2025-12-27T00:00:00"/>
    <d v="2025-01-11T00:00:00"/>
    <x v="238"/>
    <x v="3"/>
    <n v="533.41"/>
    <x v="1"/>
    <x v="1"/>
    <x v="4"/>
    <n v="350"/>
  </r>
  <r>
    <n v="1089"/>
    <s v="Brian Davis"/>
    <x v="14"/>
    <x v="0"/>
    <d v="2025-12-26T00:00:00"/>
    <d v="2024-08-05T00:00:00"/>
    <x v="239"/>
    <x v="2"/>
    <n v="639.4"/>
    <x v="0"/>
    <x v="1"/>
    <x v="0"/>
    <n v="508"/>
  </r>
  <r>
    <n v="1054"/>
    <s v="Deborah Wagner"/>
    <x v="70"/>
    <x v="0"/>
    <d v="2026-02-15T00:00:00"/>
    <d v="2025-05-30T00:00:00"/>
    <x v="240"/>
    <x v="2"/>
    <n v="3.05"/>
    <x v="1"/>
    <x v="0"/>
    <x v="0"/>
    <n v="261"/>
  </r>
  <r>
    <n v="1026"/>
    <s v="Christine Vega"/>
    <x v="56"/>
    <x v="1"/>
    <d v="2025-04-27T00:00:00"/>
    <d v="2025-03-23T00:00:00"/>
    <x v="241"/>
    <x v="3"/>
    <n v="3.31"/>
    <x v="0"/>
    <x v="1"/>
    <x v="0"/>
    <n v="35"/>
  </r>
  <r>
    <n v="1015"/>
    <s v="Zachary Jones"/>
    <x v="55"/>
    <x v="0"/>
    <d v="2025-10-03T00:00:00"/>
    <d v="2025-07-01T00:00:00"/>
    <x v="242"/>
    <x v="1"/>
    <n v="405"/>
    <x v="1"/>
    <x v="1"/>
    <x v="4"/>
    <n v="94"/>
  </r>
  <r>
    <n v="1015"/>
    <s v="Stephen Hicks"/>
    <x v="19"/>
    <x v="2"/>
    <d v="2025-10-19T00:00:00"/>
    <d v="2025-06-05T00:00:00"/>
    <x v="243"/>
    <x v="1"/>
    <n v="354.48"/>
    <x v="0"/>
    <x v="1"/>
    <x v="6"/>
    <n v="136"/>
  </r>
  <r>
    <n v="1060"/>
    <s v="Haley Taylor"/>
    <x v="69"/>
    <x v="0"/>
    <d v="2025-07-06T00:00:00"/>
    <d v="2025-04-18T00:00:00"/>
    <x v="244"/>
    <x v="3"/>
    <n v="4.7699999999999996"/>
    <x v="0"/>
    <x v="1"/>
    <x v="4"/>
    <n v="79"/>
  </r>
  <r>
    <n v="1003"/>
    <s v="Melissa Miranda"/>
    <x v="60"/>
    <x v="1"/>
    <d v="2025-06-03T00:00:00"/>
    <d v="2024-05-18T00:00:00"/>
    <x v="245"/>
    <x v="1"/>
    <n v="93.73"/>
    <x v="0"/>
    <x v="1"/>
    <x v="0"/>
    <n v="381"/>
  </r>
  <r>
    <n v="1022"/>
    <s v="Linda Nicholson"/>
    <x v="54"/>
    <x v="0"/>
    <d v="2025-08-19T00:00:00"/>
    <d v="2025-05-10T00:00:00"/>
    <x v="246"/>
    <x v="2"/>
    <n v="425.91"/>
    <x v="0"/>
    <x v="1"/>
    <x v="3"/>
    <n v="101"/>
  </r>
  <r>
    <n v="1093"/>
    <s v="Whitney Bradley"/>
    <x v="52"/>
    <x v="2"/>
    <d v="2025-05-27T00:00:00"/>
    <d v="2024-12-20T00:00:00"/>
    <x v="247"/>
    <x v="3"/>
    <n v="125.12"/>
    <x v="1"/>
    <x v="1"/>
    <x v="5"/>
    <n v="158"/>
  </r>
  <r>
    <n v="1089"/>
    <s v="Carolyn Jacobson"/>
    <x v="3"/>
    <x v="0"/>
    <d v="2026-02-11T00:00:00"/>
    <d v="2025-02-14T00:00:00"/>
    <x v="248"/>
    <x v="0"/>
    <n v="485.94"/>
    <x v="1"/>
    <x v="0"/>
    <x v="2"/>
    <n v="362"/>
  </r>
  <r>
    <n v="1094"/>
    <s v="Jordan Hudson"/>
    <x v="70"/>
    <x v="1"/>
    <d v="2025-06-17T00:00:00"/>
    <d v="2024-04-25T00:00:00"/>
    <x v="249"/>
    <x v="0"/>
    <n v="532.29999999999995"/>
    <x v="0"/>
    <x v="1"/>
    <x v="0"/>
    <n v="418"/>
  </r>
  <r>
    <n v="1016"/>
    <s v="Joseph Banks"/>
    <x v="12"/>
    <x v="0"/>
    <d v="2025-12-05T00:00:00"/>
    <d v="2024-06-15T00:00:00"/>
    <x v="250"/>
    <x v="2"/>
    <n v="108.6"/>
    <x v="1"/>
    <x v="1"/>
    <x v="5"/>
    <n v="538"/>
  </r>
  <r>
    <n v="1045"/>
    <s v="Brad West"/>
    <x v="21"/>
    <x v="0"/>
    <d v="2025-05-14T00:00:00"/>
    <d v="2024-05-19T00:00:00"/>
    <x v="251"/>
    <x v="0"/>
    <n v="605.22"/>
    <x v="1"/>
    <x v="1"/>
    <x v="5"/>
    <n v="360"/>
  </r>
  <r>
    <n v="1036"/>
    <s v="Kelsey Johnson"/>
    <x v="36"/>
    <x v="1"/>
    <d v="2026-01-28T00:00:00"/>
    <d v="2024-12-03T00:00:00"/>
    <x v="252"/>
    <x v="2"/>
    <n v="351.72"/>
    <x v="1"/>
    <x v="0"/>
    <x v="3"/>
    <n v="421"/>
  </r>
  <r>
    <n v="1031"/>
    <s v="Jared Parrish"/>
    <x v="24"/>
    <x v="0"/>
    <d v="2025-08-05T00:00:00"/>
    <d v="2025-07-27T00:00:00"/>
    <x v="253"/>
    <x v="1"/>
    <n v="1.46"/>
    <x v="1"/>
    <x v="1"/>
    <x v="2"/>
    <n v="9"/>
  </r>
  <r>
    <n v="1097"/>
    <s v="Megan Murphy"/>
    <x v="35"/>
    <x v="2"/>
    <d v="2025-04-19T00:00:00"/>
    <d v="2025-04-11T00:00:00"/>
    <x v="254"/>
    <x v="0"/>
    <n v="3.95"/>
    <x v="1"/>
    <x v="1"/>
    <x v="5"/>
    <n v="8"/>
  </r>
  <r>
    <n v="1062"/>
    <s v="Laura Lopez"/>
    <x v="62"/>
    <x v="1"/>
    <d v="2025-10-06T00:00:00"/>
    <d v="2024-06-13T00:00:00"/>
    <x v="255"/>
    <x v="0"/>
    <n v="5.1100000000000003"/>
    <x v="1"/>
    <x v="1"/>
    <x v="3"/>
    <n v="480"/>
  </r>
  <r>
    <n v="1056"/>
    <s v="Joshua Sanford"/>
    <x v="7"/>
    <x v="0"/>
    <d v="2025-06-20T00:00:00"/>
    <d v="2025-02-13T00:00:00"/>
    <x v="256"/>
    <x v="2"/>
    <n v="186.61"/>
    <x v="0"/>
    <x v="1"/>
    <x v="4"/>
    <n v="127"/>
  </r>
  <r>
    <n v="1058"/>
    <s v="Mark Bowers"/>
    <x v="30"/>
    <x v="1"/>
    <d v="2025-05-11T00:00:00"/>
    <d v="2025-04-02T00:00:00"/>
    <x v="257"/>
    <x v="2"/>
    <n v="116.69"/>
    <x v="0"/>
    <x v="1"/>
    <x v="3"/>
    <n v="39"/>
  </r>
  <r>
    <n v="1053"/>
    <s v="Nicole West"/>
    <x v="39"/>
    <x v="0"/>
    <d v="2026-03-24T00:00:00"/>
    <d v="2024-03-26T00:00:00"/>
    <x v="258"/>
    <x v="3"/>
    <n v="244.65"/>
    <x v="1"/>
    <x v="0"/>
    <x v="3"/>
    <n v="728"/>
  </r>
  <r>
    <n v="1032"/>
    <s v="Amy Wood"/>
    <x v="63"/>
    <x v="0"/>
    <d v="2025-06-22T00:00:00"/>
    <d v="2025-01-25T00:00:00"/>
    <x v="259"/>
    <x v="2"/>
    <n v="286.35000000000002"/>
    <x v="1"/>
    <x v="1"/>
    <x v="2"/>
    <n v="148"/>
  </r>
  <r>
    <n v="1049"/>
    <s v="Robert Montoya"/>
    <x v="2"/>
    <x v="1"/>
    <d v="2025-12-06T00:00:00"/>
    <d v="2024-09-09T00:00:00"/>
    <x v="260"/>
    <x v="2"/>
    <s v=""/>
    <x v="1"/>
    <x v="1"/>
    <x v="0"/>
    <n v="453"/>
  </r>
  <r>
    <n v="1068"/>
    <s v="Robert Torres"/>
    <x v="10"/>
    <x v="1"/>
    <d v="2025-10-20T00:00:00"/>
    <d v="2025-08-07T00:00:00"/>
    <x v="261"/>
    <x v="2"/>
    <n v="129.47999999999999"/>
    <x v="1"/>
    <x v="1"/>
    <x v="1"/>
    <n v="74"/>
  </r>
  <r>
    <n v="1015"/>
    <s v="Mason Morgan"/>
    <x v="55"/>
    <x v="1"/>
    <d v="2025-04-21T00:00:00"/>
    <d v="2024-08-25T00:00:00"/>
    <x v="262"/>
    <x v="3"/>
    <n v="3.29"/>
    <x v="1"/>
    <x v="1"/>
    <x v="4"/>
    <n v="239"/>
  </r>
  <r>
    <n v="1090"/>
    <s v="Jeffrey Hart"/>
    <x v="11"/>
    <x v="0"/>
    <d v="2025-12-09T00:00:00"/>
    <d v="2024-11-16T00:00:00"/>
    <x v="263"/>
    <x v="1"/>
    <n v="5.0599999999999996"/>
    <x v="0"/>
    <x v="1"/>
    <x v="1"/>
    <n v="388"/>
  </r>
  <r>
    <n v="1086"/>
    <s v="Jessica Pitts"/>
    <x v="14"/>
    <x v="0"/>
    <d v="2026-03-10T00:00:00"/>
    <d v="2025-10-22T00:00:00"/>
    <x v="264"/>
    <x v="1"/>
    <n v="536.79999999999995"/>
    <x v="1"/>
    <x v="0"/>
    <x v="0"/>
    <n v="139"/>
  </r>
  <r>
    <n v="1088"/>
    <s v="Amy King"/>
    <x v="37"/>
    <x v="0"/>
    <d v="2025-09-15T00:00:00"/>
    <d v="2025-01-30T00:00:00"/>
    <x v="265"/>
    <x v="3"/>
    <n v="321.17"/>
    <x v="0"/>
    <x v="1"/>
    <x v="2"/>
    <n v="228"/>
  </r>
  <r>
    <n v="1034"/>
    <s v="Lisa Fisher"/>
    <x v="64"/>
    <x v="2"/>
    <d v="2025-07-16T00:00:00"/>
    <d v="2025-06-12T00:00:00"/>
    <x v="266"/>
    <x v="2"/>
    <n v="417.38"/>
    <x v="0"/>
    <x v="1"/>
    <x v="2"/>
    <n v="34"/>
  </r>
  <r>
    <n v="1070"/>
    <s v="Donna Jenkins"/>
    <x v="9"/>
    <x v="0"/>
    <d v="2025-05-30T00:00:00"/>
    <d v="2024-05-14T00:00:00"/>
    <x v="267"/>
    <x v="3"/>
    <n v="4.3"/>
    <x v="0"/>
    <x v="1"/>
    <x v="1"/>
    <n v="381"/>
  </r>
  <r>
    <n v="1032"/>
    <s v="Matthew Cox"/>
    <x v="19"/>
    <x v="1"/>
    <d v="2026-01-22T00:00:00"/>
    <d v="2024-04-07T00:00:00"/>
    <x v="268"/>
    <x v="3"/>
    <n v="1.1000000000000001"/>
    <x v="1"/>
    <x v="0"/>
    <x v="6"/>
    <n v="655"/>
  </r>
  <r>
    <n v="1036"/>
    <s v="Melissa Berry MD"/>
    <x v="68"/>
    <x v="1"/>
    <d v="2026-02-23T00:00:00"/>
    <d v="2024-10-16T00:00:00"/>
    <x v="269"/>
    <x v="0"/>
    <n v="615.75"/>
    <x v="1"/>
    <x v="0"/>
    <x v="0"/>
    <n v="495"/>
  </r>
  <r>
    <n v="1098"/>
    <s v="Zachary Frazier"/>
    <x v="19"/>
    <x v="0"/>
    <d v="2026-02-14T00:00:00"/>
    <d v="2024-12-27T00:00:00"/>
    <x v="270"/>
    <x v="1"/>
    <n v="481.92"/>
    <x v="1"/>
    <x v="0"/>
    <x v="6"/>
    <n v="414"/>
  </r>
  <r>
    <n v="1071"/>
    <s v="Jose Bryant"/>
    <x v="37"/>
    <x v="1"/>
    <d v="2025-05-24T00:00:00"/>
    <d v="2024-12-10T00:00:00"/>
    <x v="271"/>
    <x v="1"/>
    <n v="466.05"/>
    <x v="1"/>
    <x v="1"/>
    <x v="2"/>
    <n v="165"/>
  </r>
  <r>
    <n v="1054"/>
    <s v="Thomas Smith"/>
    <x v="26"/>
    <x v="1"/>
    <d v="2025-11-23T00:00:00"/>
    <d v="2024-12-07T00:00:00"/>
    <x v="272"/>
    <x v="0"/>
    <n v="4.32"/>
    <x v="0"/>
    <x v="1"/>
    <x v="6"/>
    <n v="351"/>
  </r>
  <r>
    <n v="1054"/>
    <s v="Jason Harrington"/>
    <x v="40"/>
    <x v="1"/>
    <d v="2026-01-16T00:00:00"/>
    <d v="2025-07-14T00:00:00"/>
    <x v="273"/>
    <x v="1"/>
    <s v=""/>
    <x v="1"/>
    <x v="0"/>
    <x v="1"/>
    <n v="186"/>
  </r>
  <r>
    <n v="1090"/>
    <s v="Autumn Griffin"/>
    <x v="33"/>
    <x v="0"/>
    <d v="2025-09-21T00:00:00"/>
    <d v="2024-06-18T00:00:00"/>
    <x v="274"/>
    <x v="1"/>
    <n v="202.41"/>
    <x v="1"/>
    <x v="1"/>
    <x v="4"/>
    <n v="460"/>
  </r>
  <r>
    <n v="1027"/>
    <s v="Adam Shelton"/>
    <x v="58"/>
    <x v="1"/>
    <d v="2025-06-26T00:00:00"/>
    <d v="2025-06-12T00:00:00"/>
    <x v="275"/>
    <x v="2"/>
    <n v="225.1"/>
    <x v="0"/>
    <x v="1"/>
    <x v="6"/>
    <n v="14"/>
  </r>
  <r>
    <n v="1017"/>
    <s v="Amber Trevino"/>
    <x v="23"/>
    <x v="0"/>
    <d v="2025-05-28T00:00:00"/>
    <d v="2024-07-10T00:00:00"/>
    <x v="276"/>
    <x v="0"/>
    <s v=""/>
    <x v="0"/>
    <x v="1"/>
    <x v="6"/>
    <n v="322"/>
  </r>
  <r>
    <n v="1027"/>
    <s v="Jamie Aguilar"/>
    <x v="60"/>
    <x v="0"/>
    <d v="2025-09-19T00:00:00"/>
    <d v="2024-08-20T00:00:00"/>
    <x v="277"/>
    <x v="0"/>
    <n v="448.01"/>
    <x v="0"/>
    <x v="1"/>
    <x v="0"/>
    <n v="395"/>
  </r>
  <r>
    <n v="1026"/>
    <s v="Alyssa Lucas"/>
    <x v="3"/>
    <x v="0"/>
    <d v="2026-01-06T00:00:00"/>
    <d v="2024-10-11T00:00:00"/>
    <x v="278"/>
    <x v="2"/>
    <n v="400.52"/>
    <x v="0"/>
    <x v="0"/>
    <x v="2"/>
    <n v="452"/>
  </r>
  <r>
    <n v="1080"/>
    <s v="Theresa Young"/>
    <x v="1"/>
    <x v="1"/>
    <d v="2025-10-15T00:00:00"/>
    <d v="2025-06-11T00:00:00"/>
    <x v="279"/>
    <x v="3"/>
    <n v="203.09"/>
    <x v="1"/>
    <x v="1"/>
    <x v="1"/>
    <n v="126"/>
  </r>
  <r>
    <n v="1039"/>
    <s v="Donna Clark"/>
    <x v="51"/>
    <x v="0"/>
    <d v="2025-09-03T00:00:00"/>
    <d v="2024-04-08T00:00:00"/>
    <x v="280"/>
    <x v="0"/>
    <n v="173.24"/>
    <x v="0"/>
    <x v="1"/>
    <x v="5"/>
    <n v="513"/>
  </r>
  <r>
    <n v="1059"/>
    <s v="Michael White"/>
    <x v="20"/>
    <x v="1"/>
    <d v="2026-03-11T00:00:00"/>
    <d v="2025-07-23T00:00:00"/>
    <x v="281"/>
    <x v="3"/>
    <n v="300.70999999999998"/>
    <x v="0"/>
    <x v="0"/>
    <x v="5"/>
    <n v="231"/>
  </r>
  <r>
    <n v="1043"/>
    <s v="Jessica Johnson"/>
    <x v="15"/>
    <x v="1"/>
    <d v="2025-11-22T00:00:00"/>
    <d v="2025-09-07T00:00:00"/>
    <x v="282"/>
    <x v="2"/>
    <n v="221.56"/>
    <x v="0"/>
    <x v="1"/>
    <x v="1"/>
    <n v="76"/>
  </r>
  <r>
    <n v="1066"/>
    <s v="Victor Anderson MD"/>
    <x v="50"/>
    <x v="1"/>
    <d v="2025-09-10T00:00:00"/>
    <d v="2025-04-21T00:00:00"/>
    <x v="283"/>
    <x v="0"/>
    <n v="475.91"/>
    <x v="0"/>
    <x v="1"/>
    <x v="3"/>
    <n v="142"/>
  </r>
  <r>
    <n v="1040"/>
    <s v="Jodi Floyd"/>
    <x v="35"/>
    <x v="1"/>
    <d v="2025-08-19T00:00:00"/>
    <d v="2025-06-15T00:00:00"/>
    <x v="284"/>
    <x v="3"/>
    <n v="5.04"/>
    <x v="1"/>
    <x v="1"/>
    <x v="5"/>
    <n v="65"/>
  </r>
  <r>
    <n v="1090"/>
    <s v="Bradley Leach"/>
    <x v="62"/>
    <x v="0"/>
    <d v="2025-11-13T00:00:00"/>
    <d v="2024-12-13T00:00:00"/>
    <x v="285"/>
    <x v="3"/>
    <n v="95.28"/>
    <x v="0"/>
    <x v="1"/>
    <x v="3"/>
    <n v="335"/>
  </r>
  <r>
    <n v="1003"/>
    <s v="Stephen Butler"/>
    <x v="16"/>
    <x v="0"/>
    <d v="2025-05-22T00:00:00"/>
    <d v="2024-04-15T00:00:00"/>
    <x v="286"/>
    <x v="2"/>
    <n v="278.86"/>
    <x v="0"/>
    <x v="1"/>
    <x v="6"/>
    <n v="402"/>
  </r>
  <r>
    <n v="1054"/>
    <s v="Jennifer Martin"/>
    <x v="39"/>
    <x v="1"/>
    <d v="2026-02-22T00:00:00"/>
    <d v="2025-07-04T00:00:00"/>
    <x v="287"/>
    <x v="3"/>
    <n v="318.39"/>
    <x v="1"/>
    <x v="0"/>
    <x v="3"/>
    <n v="233"/>
  </r>
  <r>
    <n v="1003"/>
    <s v="Janet Gordon"/>
    <x v="71"/>
    <x v="0"/>
    <d v="2025-05-14T00:00:00"/>
    <d v="2024-04-05T00:00:00"/>
    <x v="288"/>
    <x v="3"/>
    <n v="4.3899999999999997"/>
    <x v="1"/>
    <x v="1"/>
    <x v="2"/>
    <n v="404"/>
  </r>
  <r>
    <n v="1011"/>
    <s v="Susan Bautista"/>
    <x v="8"/>
    <x v="0"/>
    <d v="2026-02-13T00:00:00"/>
    <d v="2024-11-06T00:00:00"/>
    <x v="289"/>
    <x v="1"/>
    <n v="364.96"/>
    <x v="1"/>
    <x v="0"/>
    <x v="4"/>
    <n v="464"/>
  </r>
  <r>
    <n v="1029"/>
    <s v="Steve Ramirez"/>
    <x v="39"/>
    <x v="0"/>
    <d v="2025-07-19T00:00:00"/>
    <d v="2025-05-12T00:00:00"/>
    <x v="290"/>
    <x v="1"/>
    <n v="451.11"/>
    <x v="1"/>
    <x v="1"/>
    <x v="3"/>
    <n v="68"/>
  </r>
  <r>
    <n v="1051"/>
    <s v="Kristine Logan"/>
    <x v="55"/>
    <x v="0"/>
    <d v="2025-06-29T00:00:00"/>
    <d v="2024-09-13T00:00:00"/>
    <x v="291"/>
    <x v="2"/>
    <n v="553.79999999999995"/>
    <x v="1"/>
    <x v="1"/>
    <x v="4"/>
    <n v="289"/>
  </r>
  <r>
    <n v="1041"/>
    <s v="Janet Lewis"/>
    <x v="53"/>
    <x v="1"/>
    <d v="2025-10-28T00:00:00"/>
    <d v="2025-08-18T00:00:00"/>
    <x v="292"/>
    <x v="2"/>
    <n v="339.83"/>
    <x v="1"/>
    <x v="1"/>
    <x v="1"/>
    <n v="71"/>
  </r>
  <r>
    <n v="1004"/>
    <s v="Phillip Blevins"/>
    <x v="38"/>
    <x v="2"/>
    <d v="2026-03-12T00:00:00"/>
    <d v="2024-06-04T00:00:00"/>
    <x v="293"/>
    <x v="3"/>
    <n v="124.85"/>
    <x v="0"/>
    <x v="0"/>
    <x v="1"/>
    <n v="646"/>
  </r>
  <r>
    <n v="1054"/>
    <s v="Robert Mason"/>
    <x v="5"/>
    <x v="1"/>
    <d v="2025-12-25T00:00:00"/>
    <d v="2024-12-13T00:00:00"/>
    <x v="294"/>
    <x v="2"/>
    <n v="370.37"/>
    <x v="1"/>
    <x v="1"/>
    <x v="0"/>
    <n v="377"/>
  </r>
  <r>
    <n v="1006"/>
    <s v="Rachel Nguyen"/>
    <x v="41"/>
    <x v="1"/>
    <d v="2025-12-13T00:00:00"/>
    <d v="2025-03-05T00:00:00"/>
    <x v="295"/>
    <x v="2"/>
    <n v="4.59"/>
    <x v="1"/>
    <x v="1"/>
    <x v="1"/>
    <n v="283"/>
  </r>
  <r>
    <n v="1076"/>
    <s v="John Nguyen"/>
    <x v="13"/>
    <x v="1"/>
    <d v="2025-10-05T00:00:00"/>
    <d v="2025-03-20T00:00:00"/>
    <x v="296"/>
    <x v="3"/>
    <s v=""/>
    <x v="1"/>
    <x v="1"/>
    <x v="3"/>
    <n v="199"/>
  </r>
  <r>
    <n v="1054"/>
    <s v="Jennifer Stevens"/>
    <x v="11"/>
    <x v="0"/>
    <d v="2025-11-03T00:00:00"/>
    <d v="2025-06-16T00:00:00"/>
    <x v="297"/>
    <x v="0"/>
    <n v="307.47000000000003"/>
    <x v="0"/>
    <x v="1"/>
    <x v="1"/>
    <n v="140"/>
  </r>
  <r>
    <n v="1021"/>
    <s v="Matthew Davis"/>
    <x v="8"/>
    <x v="1"/>
    <d v="2025-09-20T00:00:00"/>
    <d v="2024-06-24T00:00:00"/>
    <x v="298"/>
    <x v="0"/>
    <n v="1.31"/>
    <x v="1"/>
    <x v="1"/>
    <x v="4"/>
    <n v="453"/>
  </r>
  <r>
    <n v="1015"/>
    <s v="Ashley Daniels"/>
    <x v="34"/>
    <x v="0"/>
    <d v="2025-08-25T00:00:00"/>
    <d v="2024-06-18T00:00:00"/>
    <x v="299"/>
    <x v="2"/>
    <n v="63.38"/>
    <x v="0"/>
    <x v="1"/>
    <x v="2"/>
    <n v="433"/>
  </r>
  <r>
    <n v="1014"/>
    <s v="Dana Park"/>
    <x v="2"/>
    <x v="0"/>
    <d v="2026-01-28T00:00:00"/>
    <d v="2024-04-03T00:00:00"/>
    <x v="300"/>
    <x v="2"/>
    <n v="3.75"/>
    <x v="0"/>
    <x v="0"/>
    <x v="0"/>
    <n v="665"/>
  </r>
  <r>
    <n v="1088"/>
    <s v="Michael Short"/>
    <x v="58"/>
    <x v="1"/>
    <d v="2026-01-03T00:00:00"/>
    <d v="2024-12-21T00:00:00"/>
    <x v="301"/>
    <x v="1"/>
    <n v="483.19"/>
    <x v="0"/>
    <x v="0"/>
    <x v="6"/>
    <n v="378"/>
  </r>
  <r>
    <n v="1034"/>
    <s v="Anthony Mitchell"/>
    <x v="31"/>
    <x v="0"/>
    <d v="2025-10-09T00:00:00"/>
    <d v="2025-04-05T00:00:00"/>
    <x v="302"/>
    <x v="2"/>
    <n v="416.07"/>
    <x v="1"/>
    <x v="1"/>
    <x v="5"/>
    <n v="187"/>
  </r>
  <r>
    <n v="1020"/>
    <s v="Jamie Peck"/>
    <x v="51"/>
    <x v="0"/>
    <d v="2026-01-14T00:00:00"/>
    <d v="2025-11-13T00:00:00"/>
    <x v="303"/>
    <x v="2"/>
    <n v="455.2"/>
    <x v="1"/>
    <x v="0"/>
    <x v="5"/>
    <n v="62"/>
  </r>
  <r>
    <n v="1053"/>
    <s v="Kelsey Kelly"/>
    <x v="0"/>
    <x v="1"/>
    <d v="2025-06-19T00:00:00"/>
    <d v="2025-04-30T00:00:00"/>
    <x v="304"/>
    <x v="0"/>
    <n v="374.51"/>
    <x v="1"/>
    <x v="1"/>
    <x v="0"/>
    <n v="50"/>
  </r>
  <r>
    <n v="1011"/>
    <s v="Allison Mcgrath"/>
    <x v="47"/>
    <x v="1"/>
    <d v="2025-06-22T00:00:00"/>
    <d v="2024-04-26T00:00:00"/>
    <x v="305"/>
    <x v="0"/>
    <n v="1.38"/>
    <x v="1"/>
    <x v="1"/>
    <x v="4"/>
    <n v="422"/>
  </r>
  <r>
    <n v="1074"/>
    <s v="Denise Anderson"/>
    <x v="69"/>
    <x v="1"/>
    <d v="2025-12-28T00:00:00"/>
    <d v="2025-04-17T00:00:00"/>
    <x v="306"/>
    <x v="3"/>
    <n v="502.54"/>
    <x v="1"/>
    <x v="1"/>
    <x v="4"/>
    <n v="255"/>
  </r>
  <r>
    <n v="1051"/>
    <s v="Louis Thomas"/>
    <x v="61"/>
    <x v="0"/>
    <d v="2025-09-07T00:00:00"/>
    <d v="2024-04-23T00:00:00"/>
    <x v="307"/>
    <x v="0"/>
    <n v="598.82000000000005"/>
    <x v="0"/>
    <x v="1"/>
    <x v="4"/>
    <n v="502"/>
  </r>
  <r>
    <n v="1029"/>
    <s v="Sarah Taylor"/>
    <x v="63"/>
    <x v="0"/>
    <d v="2025-09-25T00:00:00"/>
    <d v="2024-10-30T00:00:00"/>
    <x v="308"/>
    <x v="0"/>
    <n v="428.75"/>
    <x v="0"/>
    <x v="1"/>
    <x v="2"/>
    <n v="330"/>
  </r>
  <r>
    <n v="1043"/>
    <s v="Dustin Perry"/>
    <x v="48"/>
    <x v="1"/>
    <d v="2026-01-25T00:00:00"/>
    <d v="2024-04-09T00:00:00"/>
    <x v="309"/>
    <x v="2"/>
    <n v="424.21"/>
    <x v="1"/>
    <x v="0"/>
    <x v="5"/>
    <n v="656"/>
  </r>
  <r>
    <n v="1095"/>
    <s v="Shawn Tucker"/>
    <x v="32"/>
    <x v="0"/>
    <d v="2026-02-15T00:00:00"/>
    <d v="2025-11-21T00:00:00"/>
    <x v="310"/>
    <x v="1"/>
    <n v="289.39"/>
    <x v="0"/>
    <x v="0"/>
    <x v="6"/>
    <n v="86"/>
  </r>
  <r>
    <n v="1080"/>
    <s v="Rachel Russo"/>
    <x v="51"/>
    <x v="1"/>
    <d v="2025-08-27T00:00:00"/>
    <d v="2025-07-13T00:00:00"/>
    <x v="311"/>
    <x v="1"/>
    <n v="4.03"/>
    <x v="0"/>
    <x v="1"/>
    <x v="5"/>
    <n v="45"/>
  </r>
  <r>
    <n v="1082"/>
    <s v="Dana Martinez"/>
    <x v="72"/>
    <x v="1"/>
    <d v="2025-03-27T00:00:00"/>
    <d v="2024-12-16T00:00:00"/>
    <x v="312"/>
    <x v="0"/>
    <n v="5.14"/>
    <x v="1"/>
    <x v="1"/>
    <x v="6"/>
    <n v="101"/>
  </r>
  <r>
    <n v="1058"/>
    <s v="Shane Fowler"/>
    <x v="7"/>
    <x v="0"/>
    <d v="2025-10-30T00:00:00"/>
    <d v="2024-08-27T00:00:00"/>
    <x v="313"/>
    <x v="2"/>
    <n v="152.51"/>
    <x v="0"/>
    <x v="1"/>
    <x v="4"/>
    <n v="429"/>
  </r>
  <r>
    <n v="1088"/>
    <s v="Kimberly Robinson"/>
    <x v="29"/>
    <x v="0"/>
    <d v="2026-03-04T00:00:00"/>
    <d v="2025-12-28T00:00:00"/>
    <x v="314"/>
    <x v="0"/>
    <n v="0.79"/>
    <x v="1"/>
    <x v="0"/>
    <x v="3"/>
    <n v="66"/>
  </r>
  <r>
    <n v="1039"/>
    <s v="Robert Rodriguez"/>
    <x v="10"/>
    <x v="0"/>
    <d v="2025-11-07T00:00:00"/>
    <d v="2025-09-21T00:00:00"/>
    <x v="315"/>
    <x v="3"/>
    <n v="2.91"/>
    <x v="1"/>
    <x v="1"/>
    <x v="1"/>
    <n v="47"/>
  </r>
  <r>
    <n v="1016"/>
    <s v="Rita Joyce"/>
    <x v="5"/>
    <x v="0"/>
    <d v="2025-05-21T00:00:00"/>
    <d v="2024-08-18T00:00:00"/>
    <x v="316"/>
    <x v="2"/>
    <n v="1.02"/>
    <x v="0"/>
    <x v="1"/>
    <x v="0"/>
    <n v="276"/>
  </r>
  <r>
    <n v="1098"/>
    <s v="Kimberly Meyer"/>
    <x v="35"/>
    <x v="1"/>
    <d v="2025-12-17T00:00:00"/>
    <d v="2024-04-27T00:00:00"/>
    <x v="317"/>
    <x v="1"/>
    <n v="4.8499999999999996"/>
    <x v="1"/>
    <x v="1"/>
    <x v="5"/>
    <n v="599"/>
  </r>
  <r>
    <n v="1025"/>
    <s v="Kelly Morris"/>
    <x v="51"/>
    <x v="1"/>
    <d v="2025-08-11T00:00:00"/>
    <d v="2024-08-02T00:00:00"/>
    <x v="318"/>
    <x v="1"/>
    <n v="2.85"/>
    <x v="1"/>
    <x v="1"/>
    <x v="5"/>
    <n v="374"/>
  </r>
  <r>
    <n v="1012"/>
    <s v="Kevin Thompson"/>
    <x v="65"/>
    <x v="0"/>
    <d v="2025-05-01T00:00:00"/>
    <d v="2024-10-02T00:00:00"/>
    <x v="319"/>
    <x v="3"/>
    <n v="1.72"/>
    <x v="0"/>
    <x v="1"/>
    <x v="4"/>
    <n v="211"/>
  </r>
  <r>
    <n v="1038"/>
    <s v="April Braun"/>
    <x v="7"/>
    <x v="0"/>
    <d v="2025-04-29T00:00:00"/>
    <d v="2024-04-16T00:00:00"/>
    <x v="320"/>
    <x v="2"/>
    <n v="1.22"/>
    <x v="0"/>
    <x v="1"/>
    <x v="4"/>
    <n v="378"/>
  </r>
  <r>
    <n v="1000"/>
    <s v="Alejandro Lopez"/>
    <x v="49"/>
    <x v="1"/>
    <d v="2025-06-15T00:00:00"/>
    <d v="2024-07-03T00:00:00"/>
    <x v="321"/>
    <x v="2"/>
    <n v="404.68"/>
    <x v="1"/>
    <x v="1"/>
    <x v="6"/>
    <n v="347"/>
  </r>
  <r>
    <n v="1020"/>
    <s v="Scott Bishop"/>
    <x v="0"/>
    <x v="0"/>
    <d v="2025-05-30T00:00:00"/>
    <d v="2024-07-27T00:00:00"/>
    <x v="322"/>
    <x v="3"/>
    <n v="454.55"/>
    <x v="1"/>
    <x v="1"/>
    <x v="0"/>
    <n v="307"/>
  </r>
  <r>
    <n v="1010"/>
    <s v="Steven Baldwin"/>
    <x v="43"/>
    <x v="2"/>
    <d v="2025-06-05T00:00:00"/>
    <d v="2024-04-14T00:00:00"/>
    <x v="323"/>
    <x v="2"/>
    <n v="5.46"/>
    <x v="0"/>
    <x v="1"/>
    <x v="6"/>
    <n v="417"/>
  </r>
  <r>
    <n v="1031"/>
    <s v="Randy Austin"/>
    <x v="51"/>
    <x v="1"/>
    <d v="2026-02-12T00:00:00"/>
    <d v="2024-04-12T00:00:00"/>
    <x v="324"/>
    <x v="2"/>
    <n v="364.33"/>
    <x v="1"/>
    <x v="0"/>
    <x v="5"/>
    <n v="671"/>
  </r>
  <r>
    <n v="1006"/>
    <s v="Anthony Martin"/>
    <x v="8"/>
    <x v="0"/>
    <d v="2025-06-18T00:00:00"/>
    <d v="2024-11-06T00:00:00"/>
    <x v="325"/>
    <x v="2"/>
    <n v="1.32"/>
    <x v="1"/>
    <x v="1"/>
    <x v="4"/>
    <n v="224"/>
  </r>
  <r>
    <n v="1078"/>
    <s v="Patricia Ramsey"/>
    <x v="49"/>
    <x v="0"/>
    <d v="2025-07-20T00:00:00"/>
    <d v="2024-11-27T00:00:00"/>
    <x v="326"/>
    <x v="3"/>
    <n v="531.4"/>
    <x v="1"/>
    <x v="1"/>
    <x v="6"/>
    <n v="235"/>
  </r>
  <r>
    <n v="1021"/>
    <s v="Lauren Gardner"/>
    <x v="63"/>
    <x v="0"/>
    <d v="2025-04-25T00:00:00"/>
    <d v="2025-04-01T00:00:00"/>
    <x v="327"/>
    <x v="2"/>
    <n v="2.0499999999999998"/>
    <x v="1"/>
    <x v="1"/>
    <x v="2"/>
    <n v="24"/>
  </r>
  <r>
    <n v="1084"/>
    <s v="Daniel Willis"/>
    <x v="55"/>
    <x v="0"/>
    <d v="2025-11-05T00:00:00"/>
    <d v="2025-08-01T00:00:00"/>
    <x v="328"/>
    <x v="2"/>
    <n v="2.58"/>
    <x v="0"/>
    <x v="1"/>
    <x v="4"/>
    <n v="96"/>
  </r>
  <r>
    <n v="1025"/>
    <s v="Shawn Moore"/>
    <x v="33"/>
    <x v="0"/>
    <d v="2025-11-15T00:00:00"/>
    <d v="2024-07-06T00:00:00"/>
    <x v="329"/>
    <x v="3"/>
    <n v="3.48"/>
    <x v="1"/>
    <x v="1"/>
    <x v="4"/>
    <n v="497"/>
  </r>
  <r>
    <n v="1015"/>
    <s v="Sherry Wilson"/>
    <x v="46"/>
    <x v="0"/>
    <d v="2025-12-07T00:00:00"/>
    <d v="2025-02-28T00:00:00"/>
    <x v="330"/>
    <x v="1"/>
    <n v="1.43"/>
    <x v="0"/>
    <x v="1"/>
    <x v="3"/>
    <n v="282"/>
  </r>
  <r>
    <n v="1084"/>
    <s v="Teresa Peters"/>
    <x v="5"/>
    <x v="1"/>
    <d v="2026-02-11T00:00:00"/>
    <d v="2024-11-14T00:00:00"/>
    <x v="331"/>
    <x v="2"/>
    <n v="524.16999999999996"/>
    <x v="1"/>
    <x v="0"/>
    <x v="0"/>
    <n v="454"/>
  </r>
  <r>
    <n v="1015"/>
    <s v="Nicole Evans"/>
    <x v="23"/>
    <x v="0"/>
    <d v="2025-08-13T00:00:00"/>
    <d v="2024-09-21T00:00:00"/>
    <x v="332"/>
    <x v="0"/>
    <n v="5.05"/>
    <x v="0"/>
    <x v="1"/>
    <x v="6"/>
    <n v="326"/>
  </r>
  <r>
    <n v="1091"/>
    <s v="Brandon Sanders"/>
    <x v="57"/>
    <x v="1"/>
    <d v="2026-01-09T00:00:00"/>
    <d v="2025-03-16T00:00:00"/>
    <x v="333"/>
    <x v="1"/>
    <n v="414.68"/>
    <x v="1"/>
    <x v="0"/>
    <x v="3"/>
    <n v="299"/>
  </r>
  <r>
    <n v="1065"/>
    <s v="Samantha Wallace"/>
    <x v="0"/>
    <x v="1"/>
    <d v="2025-06-28T00:00:00"/>
    <d v="2024-12-22T00:00:00"/>
    <x v="334"/>
    <x v="1"/>
    <n v="1.6"/>
    <x v="0"/>
    <x v="1"/>
    <x v="0"/>
    <n v="188"/>
  </r>
  <r>
    <n v="1045"/>
    <s v="Jared Butler"/>
    <x v="48"/>
    <x v="1"/>
    <d v="2025-08-19T00:00:00"/>
    <d v="2025-06-09T00:00:00"/>
    <x v="335"/>
    <x v="3"/>
    <n v="273.02999999999997"/>
    <x v="0"/>
    <x v="1"/>
    <x v="5"/>
    <n v="71"/>
  </r>
  <r>
    <n v="1050"/>
    <s v="Tracey Beck"/>
    <x v="16"/>
    <x v="1"/>
    <d v="2025-05-27T00:00:00"/>
    <d v="2024-09-20T00:00:00"/>
    <x v="336"/>
    <x v="0"/>
    <n v="184.28"/>
    <x v="0"/>
    <x v="1"/>
    <x v="6"/>
    <n v="249"/>
  </r>
  <r>
    <n v="1058"/>
    <s v="Brianna Mcpherson"/>
    <x v="17"/>
    <x v="1"/>
    <d v="2025-05-13T00:00:00"/>
    <d v="2024-06-17T00:00:00"/>
    <x v="337"/>
    <x v="3"/>
    <n v="145.78"/>
    <x v="0"/>
    <x v="1"/>
    <x v="6"/>
    <n v="330"/>
  </r>
  <r>
    <n v="1047"/>
    <s v="Ray Mcbride"/>
    <x v="43"/>
    <x v="0"/>
    <d v="2025-10-06T00:00:00"/>
    <d v="2024-12-02T00:00:00"/>
    <x v="338"/>
    <x v="3"/>
    <n v="135.41"/>
    <x v="1"/>
    <x v="1"/>
    <x v="6"/>
    <n v="308"/>
  </r>
  <r>
    <n v="1044"/>
    <s v="Tammy Thomas"/>
    <x v="70"/>
    <x v="0"/>
    <d v="2025-04-02T00:00:00"/>
    <d v="2025-01-19T00:00:00"/>
    <x v="339"/>
    <x v="1"/>
    <n v="145"/>
    <x v="1"/>
    <x v="1"/>
    <x v="0"/>
    <n v="73"/>
  </r>
  <r>
    <n v="1049"/>
    <s v="Kelly Mason"/>
    <x v="53"/>
    <x v="0"/>
    <d v="2026-02-17T00:00:00"/>
    <d v="2024-05-31T00:00:00"/>
    <x v="340"/>
    <x v="0"/>
    <n v="205.16"/>
    <x v="0"/>
    <x v="0"/>
    <x v="1"/>
    <n v="627"/>
  </r>
  <r>
    <n v="1095"/>
    <s v="Nicholas Kelly"/>
    <x v="55"/>
    <x v="0"/>
    <d v="2026-03-23T00:00:00"/>
    <d v="2025-04-02T00:00:00"/>
    <x v="341"/>
    <x v="0"/>
    <s v=""/>
    <x v="0"/>
    <x v="0"/>
    <x v="4"/>
    <n v="355"/>
  </r>
  <r>
    <n v="1098"/>
    <s v="Anne Jones DVM"/>
    <x v="42"/>
    <x v="0"/>
    <d v="2026-01-05T00:00:00"/>
    <d v="2025-05-30T00:00:00"/>
    <x v="342"/>
    <x v="3"/>
    <n v="296.43"/>
    <x v="0"/>
    <x v="0"/>
    <x v="2"/>
    <n v="220"/>
  </r>
  <r>
    <n v="1066"/>
    <s v="Andrea Mendez"/>
    <x v="66"/>
    <x v="1"/>
    <d v="2025-07-02T00:00:00"/>
    <d v="2024-08-14T00:00:00"/>
    <x v="343"/>
    <x v="3"/>
    <n v="233.98"/>
    <x v="1"/>
    <x v="1"/>
    <x v="5"/>
    <n v="322"/>
  </r>
  <r>
    <n v="1014"/>
    <s v="Jennifer Schwartz"/>
    <x v="17"/>
    <x v="2"/>
    <d v="2026-02-12T00:00:00"/>
    <d v="2024-08-14T00:00:00"/>
    <x v="344"/>
    <x v="1"/>
    <n v="531.26"/>
    <x v="1"/>
    <x v="0"/>
    <x v="6"/>
    <n v="547"/>
  </r>
  <r>
    <n v="1003"/>
    <s v="Zachary Cross"/>
    <x v="10"/>
    <x v="1"/>
    <d v="2025-07-31T00:00:00"/>
    <d v="2025-04-23T00:00:00"/>
    <x v="345"/>
    <x v="2"/>
    <n v="422.73"/>
    <x v="1"/>
    <x v="1"/>
    <x v="1"/>
    <n v="99"/>
  </r>
  <r>
    <n v="1056"/>
    <s v="Andrea Murray"/>
    <x v="28"/>
    <x v="1"/>
    <d v="2026-03-12T00:00:00"/>
    <d v="2025-08-11T00:00:00"/>
    <x v="346"/>
    <x v="2"/>
    <n v="4.79"/>
    <x v="1"/>
    <x v="0"/>
    <x v="2"/>
    <n v="213"/>
  </r>
  <r>
    <n v="1033"/>
    <s v="Michele Green"/>
    <x v="42"/>
    <x v="0"/>
    <d v="2025-06-30T00:00:00"/>
    <d v="2025-01-24T00:00:00"/>
    <x v="113"/>
    <x v="1"/>
    <n v="0.97"/>
    <x v="1"/>
    <x v="1"/>
    <x v="2"/>
    <n v="157"/>
  </r>
  <r>
    <n v="1095"/>
    <s v="Summer Bishop"/>
    <x v="31"/>
    <x v="1"/>
    <d v="2025-10-21T00:00:00"/>
    <d v="2025-08-07T00:00:00"/>
    <x v="347"/>
    <x v="0"/>
    <s v=""/>
    <x v="0"/>
    <x v="1"/>
    <x v="5"/>
    <n v="75"/>
  </r>
  <r>
    <n v="1036"/>
    <s v="Daniel Braun"/>
    <x v="57"/>
    <x v="1"/>
    <d v="2026-03-20T00:00:00"/>
    <d v="2026-02-09T00:00:00"/>
    <x v="348"/>
    <x v="0"/>
    <n v="282.67"/>
    <x v="0"/>
    <x v="0"/>
    <x v="3"/>
    <n v="39"/>
  </r>
  <r>
    <n v="1082"/>
    <s v="Kyle Jones"/>
    <x v="36"/>
    <x v="1"/>
    <d v="2025-11-01T00:00:00"/>
    <d v="2025-03-17T00:00:00"/>
    <x v="349"/>
    <x v="2"/>
    <n v="366.49"/>
    <x v="1"/>
    <x v="1"/>
    <x v="3"/>
    <n v="229"/>
  </r>
  <r>
    <n v="1063"/>
    <s v="Erin Baker"/>
    <x v="12"/>
    <x v="1"/>
    <d v="2025-10-02T00:00:00"/>
    <d v="2025-09-12T00:00:00"/>
    <x v="350"/>
    <x v="3"/>
    <n v="2.63"/>
    <x v="0"/>
    <x v="1"/>
    <x v="5"/>
    <n v="20"/>
  </r>
  <r>
    <n v="1003"/>
    <s v="Cheryl Calderon"/>
    <x v="36"/>
    <x v="0"/>
    <d v="2026-02-23T00:00:00"/>
    <d v="2024-04-04T00:00:00"/>
    <x v="351"/>
    <x v="1"/>
    <n v="0.61"/>
    <x v="1"/>
    <x v="0"/>
    <x v="3"/>
    <n v="690"/>
  </r>
  <r>
    <n v="1005"/>
    <s v="Andrea Mcbride"/>
    <x v="38"/>
    <x v="0"/>
    <d v="2025-09-15T00:00:00"/>
    <d v="2025-01-19T00:00:00"/>
    <x v="352"/>
    <x v="2"/>
    <n v="149.33000000000001"/>
    <x v="1"/>
    <x v="1"/>
    <x v="1"/>
    <n v="239"/>
  </r>
  <r>
    <n v="1058"/>
    <s v="Danielle Barrett"/>
    <x v="12"/>
    <x v="0"/>
    <d v="2025-12-20T00:00:00"/>
    <d v="2024-03-27T00:00:00"/>
    <x v="353"/>
    <x v="3"/>
    <n v="4.25"/>
    <x v="0"/>
    <x v="1"/>
    <x v="5"/>
    <n v="633"/>
  </r>
  <r>
    <n v="1061"/>
    <s v="Madison Wilson"/>
    <x v="13"/>
    <x v="1"/>
    <d v="2026-01-08T00:00:00"/>
    <d v="2024-11-29T00:00:00"/>
    <x v="354"/>
    <x v="0"/>
    <n v="258.42"/>
    <x v="1"/>
    <x v="0"/>
    <x v="3"/>
    <n v="405"/>
  </r>
  <r>
    <n v="1004"/>
    <s v="Thomas Crawford"/>
    <x v="41"/>
    <x v="0"/>
    <d v="2025-05-13T00:00:00"/>
    <d v="2024-04-22T00:00:00"/>
    <x v="355"/>
    <x v="3"/>
    <n v="332.47"/>
    <x v="1"/>
    <x v="1"/>
    <x v="1"/>
    <n v="386"/>
  </r>
  <r>
    <n v="1057"/>
    <s v="Sheila Thomas"/>
    <x v="44"/>
    <x v="1"/>
    <d v="2025-09-08T00:00:00"/>
    <d v="2025-02-24T00:00:00"/>
    <x v="356"/>
    <x v="0"/>
    <n v="86.17"/>
    <x v="1"/>
    <x v="1"/>
    <x v="4"/>
    <n v="196"/>
  </r>
  <r>
    <n v="1036"/>
    <s v="Daniel Long"/>
    <x v="48"/>
    <x v="0"/>
    <d v="2025-11-17T00:00:00"/>
    <d v="2024-10-09T00:00:00"/>
    <x v="357"/>
    <x v="2"/>
    <n v="113.23"/>
    <x v="0"/>
    <x v="1"/>
    <x v="5"/>
    <n v="404"/>
  </r>
  <r>
    <n v="1095"/>
    <s v="James Fox"/>
    <x v="47"/>
    <x v="0"/>
    <d v="2025-12-22T00:00:00"/>
    <d v="2024-05-17T00:00:00"/>
    <x v="358"/>
    <x v="3"/>
    <n v="2.25"/>
    <x v="0"/>
    <x v="1"/>
    <x v="4"/>
    <n v="584"/>
  </r>
  <r>
    <n v="1036"/>
    <s v="Evan Price"/>
    <x v="43"/>
    <x v="1"/>
    <d v="2025-07-31T00:00:00"/>
    <d v="2024-11-02T00:00:00"/>
    <x v="359"/>
    <x v="0"/>
    <n v="369.12"/>
    <x v="0"/>
    <x v="1"/>
    <x v="6"/>
    <n v="271"/>
  </r>
  <r>
    <n v="1049"/>
    <s v="Vanessa Graves"/>
    <x v="44"/>
    <x v="0"/>
    <d v="2025-08-07T00:00:00"/>
    <d v="2025-01-02T00:00:00"/>
    <x v="360"/>
    <x v="0"/>
    <n v="5.22"/>
    <x v="0"/>
    <x v="1"/>
    <x v="4"/>
    <n v="217"/>
  </r>
  <r>
    <n v="1036"/>
    <s v="Barbara Drake"/>
    <x v="22"/>
    <x v="1"/>
    <d v="2025-08-26T00:00:00"/>
    <d v="2025-01-09T00:00:00"/>
    <x v="361"/>
    <x v="0"/>
    <n v="320.29000000000002"/>
    <x v="1"/>
    <x v="1"/>
    <x v="3"/>
    <n v="229"/>
  </r>
  <r>
    <n v="1050"/>
    <s v="Logan Gonzalez"/>
    <x v="16"/>
    <x v="2"/>
    <d v="2026-02-17T00:00:00"/>
    <d v="2025-04-03T00:00:00"/>
    <x v="362"/>
    <x v="2"/>
    <n v="234.38"/>
    <x v="0"/>
    <x v="0"/>
    <x v="6"/>
    <n v="320"/>
  </r>
  <r>
    <n v="1019"/>
    <s v="Brittney Gonzales"/>
    <x v="48"/>
    <x v="2"/>
    <d v="2025-12-20T00:00:00"/>
    <d v="2025-08-14T00:00:00"/>
    <x v="363"/>
    <x v="1"/>
    <n v="3.83"/>
    <x v="0"/>
    <x v="1"/>
    <x v="5"/>
    <n v="128"/>
  </r>
  <r>
    <n v="1082"/>
    <s v="Nichole Phillips"/>
    <x v="18"/>
    <x v="1"/>
    <d v="2025-09-17T00:00:00"/>
    <d v="2025-08-19T00:00:00"/>
    <x v="364"/>
    <x v="0"/>
    <s v=""/>
    <x v="0"/>
    <x v="1"/>
    <x v="4"/>
    <n v="29"/>
  </r>
  <r>
    <n v="1074"/>
    <s v="James Wise"/>
    <x v="27"/>
    <x v="0"/>
    <d v="2025-09-05T00:00:00"/>
    <d v="2024-05-19T00:00:00"/>
    <x v="365"/>
    <x v="2"/>
    <n v="109.84"/>
    <x v="0"/>
    <x v="1"/>
    <x v="1"/>
    <n v="474"/>
  </r>
  <r>
    <n v="1084"/>
    <s v="Logan Sampson"/>
    <x v="38"/>
    <x v="1"/>
    <d v="2025-12-31T00:00:00"/>
    <d v="2025-04-19T00:00:00"/>
    <x v="366"/>
    <x v="1"/>
    <n v="1.69"/>
    <x v="0"/>
    <x v="1"/>
    <x v="1"/>
    <n v="256"/>
  </r>
  <r>
    <n v="1084"/>
    <s v="Tamara Ramirez MD"/>
    <x v="2"/>
    <x v="0"/>
    <d v="2025-12-23T00:00:00"/>
    <d v="2025-01-12T00:00:00"/>
    <x v="367"/>
    <x v="2"/>
    <n v="168.74"/>
    <x v="0"/>
    <x v="1"/>
    <x v="0"/>
    <n v="345"/>
  </r>
  <r>
    <n v="1004"/>
    <s v="Sheryl Lopez"/>
    <x v="57"/>
    <x v="1"/>
    <d v="2025-08-26T00:00:00"/>
    <d v="2024-09-10T00:00:00"/>
    <x v="368"/>
    <x v="2"/>
    <s v=""/>
    <x v="0"/>
    <x v="1"/>
    <x v="3"/>
    <n v="350"/>
  </r>
  <r>
    <n v="1006"/>
    <s v="Shannon Ramos"/>
    <x v="24"/>
    <x v="1"/>
    <d v="2025-11-04T00:00:00"/>
    <d v="2024-11-05T00:00:00"/>
    <x v="369"/>
    <x v="1"/>
    <s v=""/>
    <x v="0"/>
    <x v="1"/>
    <x v="2"/>
    <n v="364"/>
  </r>
  <r>
    <n v="1096"/>
    <s v="Daniel Vazquez"/>
    <x v="58"/>
    <x v="0"/>
    <d v="2026-03-21T00:00:00"/>
    <d v="2025-12-09T00:00:00"/>
    <x v="370"/>
    <x v="2"/>
    <n v="259.11"/>
    <x v="0"/>
    <x v="0"/>
    <x v="6"/>
    <n v="102"/>
  </r>
  <r>
    <n v="1022"/>
    <s v="Kimberly Heath"/>
    <x v="30"/>
    <x v="1"/>
    <d v="2025-10-19T00:00:00"/>
    <d v="2025-09-19T00:00:00"/>
    <x v="371"/>
    <x v="1"/>
    <n v="163.24"/>
    <x v="0"/>
    <x v="1"/>
    <x v="3"/>
    <n v="30"/>
  </r>
  <r>
    <n v="1089"/>
    <s v="Tammy Yates"/>
    <x v="35"/>
    <x v="0"/>
    <d v="2025-10-29T00:00:00"/>
    <d v="2025-09-06T00:00:00"/>
    <x v="372"/>
    <x v="0"/>
    <n v="65.58"/>
    <x v="1"/>
    <x v="1"/>
    <x v="5"/>
    <n v="53"/>
  </r>
  <r>
    <n v="1058"/>
    <s v="Alison Wolfe"/>
    <x v="36"/>
    <x v="1"/>
    <d v="2025-05-30T00:00:00"/>
    <d v="2024-03-26T00:00:00"/>
    <x v="373"/>
    <x v="3"/>
    <n v="481.22"/>
    <x v="0"/>
    <x v="1"/>
    <x v="3"/>
    <n v="430"/>
  </r>
  <r>
    <n v="1024"/>
    <s v="Natalie Miller"/>
    <x v="33"/>
    <x v="0"/>
    <d v="2025-10-12T00:00:00"/>
    <d v="2024-10-28T00:00:00"/>
    <x v="374"/>
    <x v="3"/>
    <n v="63.13"/>
    <x v="0"/>
    <x v="1"/>
    <x v="4"/>
    <n v="349"/>
  </r>
  <r>
    <n v="1016"/>
    <s v="Kara Schneider"/>
    <x v="16"/>
    <x v="0"/>
    <d v="2025-07-21T00:00:00"/>
    <d v="2024-07-08T00:00:00"/>
    <x v="375"/>
    <x v="3"/>
    <n v="606.83000000000004"/>
    <x v="0"/>
    <x v="1"/>
    <x v="6"/>
    <n v="378"/>
  </r>
  <r>
    <n v="1022"/>
    <s v="Kevin Jackson"/>
    <x v="18"/>
    <x v="1"/>
    <d v="2025-06-16T00:00:00"/>
    <d v="2024-05-31T00:00:00"/>
    <x v="376"/>
    <x v="0"/>
    <n v="157.36000000000001"/>
    <x v="1"/>
    <x v="1"/>
    <x v="4"/>
    <n v="381"/>
  </r>
  <r>
    <n v="1088"/>
    <s v="Mary Werner"/>
    <x v="20"/>
    <x v="2"/>
    <d v="2025-07-22T00:00:00"/>
    <d v="2024-04-12T00:00:00"/>
    <x v="377"/>
    <x v="1"/>
    <n v="69.13"/>
    <x v="0"/>
    <x v="1"/>
    <x v="5"/>
    <n v="466"/>
  </r>
  <r>
    <n v="1016"/>
    <s v="Jennifer Barber"/>
    <x v="70"/>
    <x v="1"/>
    <d v="2025-12-06T00:00:00"/>
    <d v="2024-10-04T00:00:00"/>
    <x v="378"/>
    <x v="2"/>
    <n v="63.43"/>
    <x v="0"/>
    <x v="1"/>
    <x v="0"/>
    <n v="428"/>
  </r>
  <r>
    <n v="1039"/>
    <s v="Emily Miller"/>
    <x v="33"/>
    <x v="1"/>
    <d v="2025-04-01T00:00:00"/>
    <d v="2024-09-13T00:00:00"/>
    <x v="379"/>
    <x v="1"/>
    <n v="432.84"/>
    <x v="1"/>
    <x v="1"/>
    <x v="4"/>
    <n v="200"/>
  </r>
  <r>
    <n v="1075"/>
    <s v="Christine Lane"/>
    <x v="57"/>
    <x v="0"/>
    <d v="2025-04-07T00:00:00"/>
    <d v="2024-04-02T00:00:00"/>
    <x v="380"/>
    <x v="1"/>
    <n v="277.7"/>
    <x v="1"/>
    <x v="1"/>
    <x v="3"/>
    <n v="370"/>
  </r>
  <r>
    <n v="1013"/>
    <s v="Gabriela Pope"/>
    <x v="40"/>
    <x v="0"/>
    <d v="2026-01-02T00:00:00"/>
    <d v="2025-02-26T00:00:00"/>
    <x v="381"/>
    <x v="2"/>
    <n v="413.25"/>
    <x v="0"/>
    <x v="0"/>
    <x v="1"/>
    <n v="310"/>
  </r>
  <r>
    <n v="1089"/>
    <s v="Alexa Landry"/>
    <x v="54"/>
    <x v="1"/>
    <d v="2025-09-16T00:00:00"/>
    <d v="2025-01-16T00:00:00"/>
    <x v="382"/>
    <x v="1"/>
    <n v="73.59"/>
    <x v="0"/>
    <x v="1"/>
    <x v="3"/>
    <n v="243"/>
  </r>
  <r>
    <n v="1084"/>
    <s v="Erica Thompson"/>
    <x v="21"/>
    <x v="0"/>
    <d v="2025-12-07T00:00:00"/>
    <d v="2025-10-11T00:00:00"/>
    <x v="383"/>
    <x v="3"/>
    <n v="5.13"/>
    <x v="1"/>
    <x v="1"/>
    <x v="5"/>
    <n v="57"/>
  </r>
  <r>
    <n v="1018"/>
    <s v="James Noble"/>
    <x v="9"/>
    <x v="1"/>
    <d v="2025-06-25T00:00:00"/>
    <d v="2025-06-05T00:00:00"/>
    <x v="384"/>
    <x v="0"/>
    <n v="239.31"/>
    <x v="0"/>
    <x v="1"/>
    <x v="1"/>
    <n v="20"/>
  </r>
  <r>
    <n v="1026"/>
    <s v="Sandra Russo"/>
    <x v="24"/>
    <x v="1"/>
    <d v="2026-01-25T00:00:00"/>
    <d v="2024-12-09T00:00:00"/>
    <x v="385"/>
    <x v="3"/>
    <n v="156.9"/>
    <x v="1"/>
    <x v="0"/>
    <x v="2"/>
    <n v="412"/>
  </r>
  <r>
    <n v="1001"/>
    <s v="Robert Hampton"/>
    <x v="17"/>
    <x v="1"/>
    <d v="2025-11-12T00:00:00"/>
    <d v="2025-09-04T00:00:00"/>
    <x v="386"/>
    <x v="2"/>
    <n v="429.83"/>
    <x v="1"/>
    <x v="1"/>
    <x v="6"/>
    <n v="69"/>
  </r>
  <r>
    <n v="1004"/>
    <s v="Rachel Simmons"/>
    <x v="53"/>
    <x v="1"/>
    <d v="2025-08-12T00:00:00"/>
    <d v="2024-12-27T00:00:00"/>
    <x v="387"/>
    <x v="0"/>
    <n v="188.72"/>
    <x v="0"/>
    <x v="1"/>
    <x v="1"/>
    <n v="228"/>
  </r>
  <r>
    <n v="1013"/>
    <s v="Eduardo Martinez"/>
    <x v="72"/>
    <x v="1"/>
    <d v="2025-10-14T00:00:00"/>
    <d v="2024-09-16T00:00:00"/>
    <x v="388"/>
    <x v="0"/>
    <n v="547.05999999999995"/>
    <x v="0"/>
    <x v="1"/>
    <x v="6"/>
    <n v="393"/>
  </r>
  <r>
    <n v="1009"/>
    <s v="Edward Taylor"/>
    <x v="27"/>
    <x v="0"/>
    <d v="2025-07-02T00:00:00"/>
    <d v="2024-06-04T00:00:00"/>
    <x v="389"/>
    <x v="1"/>
    <n v="435.46"/>
    <x v="1"/>
    <x v="1"/>
    <x v="1"/>
    <n v="393"/>
  </r>
  <r>
    <n v="1021"/>
    <s v="Ashley Martinez"/>
    <x v="9"/>
    <x v="2"/>
    <d v="2025-05-07T00:00:00"/>
    <d v="2024-10-18T00:00:00"/>
    <x v="390"/>
    <x v="1"/>
    <n v="296.8"/>
    <x v="1"/>
    <x v="1"/>
    <x v="1"/>
    <n v="201"/>
  </r>
  <r>
    <n v="1100"/>
    <s v="Megan Edwards"/>
    <x v="1"/>
    <x v="1"/>
    <d v="2025-10-08T00:00:00"/>
    <d v="2025-05-19T00:00:00"/>
    <x v="391"/>
    <x v="2"/>
    <n v="492.2"/>
    <x v="1"/>
    <x v="1"/>
    <x v="1"/>
    <n v="142"/>
  </r>
  <r>
    <n v="1005"/>
    <s v="Mr. Phillip Baxter"/>
    <x v="56"/>
    <x v="1"/>
    <d v="2025-07-24T00:00:00"/>
    <d v="2025-01-16T00:00:00"/>
    <x v="392"/>
    <x v="3"/>
    <n v="320.72000000000003"/>
    <x v="1"/>
    <x v="1"/>
    <x v="0"/>
    <n v="189"/>
  </r>
  <r>
    <n v="1071"/>
    <s v="Diana Schroeder"/>
    <x v="59"/>
    <x v="1"/>
    <d v="2025-08-24T00:00:00"/>
    <d v="2025-07-04T00:00:00"/>
    <x v="393"/>
    <x v="2"/>
    <n v="262.83999999999997"/>
    <x v="1"/>
    <x v="1"/>
    <x v="0"/>
    <n v="51"/>
  </r>
  <r>
    <n v="1070"/>
    <s v="Katelyn Miller"/>
    <x v="5"/>
    <x v="1"/>
    <d v="2025-12-19T00:00:00"/>
    <d v="2024-11-25T00:00:00"/>
    <x v="394"/>
    <x v="0"/>
    <n v="3.02"/>
    <x v="1"/>
    <x v="1"/>
    <x v="0"/>
    <n v="389"/>
  </r>
  <r>
    <n v="1020"/>
    <s v="Brian Garrett"/>
    <x v="53"/>
    <x v="0"/>
    <d v="2026-01-24T00:00:00"/>
    <d v="2026-01-04T00:00:00"/>
    <x v="395"/>
    <x v="0"/>
    <n v="243.08"/>
    <x v="1"/>
    <x v="0"/>
    <x v="1"/>
    <n v="20"/>
  </r>
  <r>
    <n v="1074"/>
    <s v="Aaron Clay"/>
    <x v="43"/>
    <x v="1"/>
    <d v="2025-10-31T00:00:00"/>
    <d v="2025-05-22T00:00:00"/>
    <x v="396"/>
    <x v="0"/>
    <n v="350.43"/>
    <x v="0"/>
    <x v="1"/>
    <x v="6"/>
    <n v="162"/>
  </r>
  <r>
    <n v="1001"/>
    <s v="Brian Bolton"/>
    <x v="5"/>
    <x v="1"/>
    <d v="2025-08-18T00:00:00"/>
    <d v="2024-05-26T00:00:00"/>
    <x v="397"/>
    <x v="2"/>
    <n v="217.56"/>
    <x v="1"/>
    <x v="1"/>
    <x v="0"/>
    <n v="449"/>
  </r>
  <r>
    <n v="1067"/>
    <s v="Karla Bush"/>
    <x v="15"/>
    <x v="2"/>
    <d v="2025-05-23T00:00:00"/>
    <d v="2024-08-14T00:00:00"/>
    <x v="398"/>
    <x v="0"/>
    <n v="1.49"/>
    <x v="0"/>
    <x v="1"/>
    <x v="1"/>
    <n v="282"/>
  </r>
  <r>
    <n v="1074"/>
    <s v="Michelle Edwards"/>
    <x v="39"/>
    <x v="0"/>
    <d v="2025-12-03T00:00:00"/>
    <d v="2025-07-27T00:00:00"/>
    <x v="399"/>
    <x v="1"/>
    <n v="322.13"/>
    <x v="0"/>
    <x v="1"/>
    <x v="3"/>
    <n v="129"/>
  </r>
  <r>
    <n v="1053"/>
    <s v="Jack Sutton"/>
    <x v="0"/>
    <x v="0"/>
    <d v="2025-11-28T00:00:00"/>
    <d v="2025-04-20T00:00:00"/>
    <x v="400"/>
    <x v="3"/>
    <n v="374.72"/>
    <x v="0"/>
    <x v="1"/>
    <x v="0"/>
    <n v="222"/>
  </r>
  <r>
    <n v="1020"/>
    <s v="Joseph Hart"/>
    <x v="1"/>
    <x v="0"/>
    <d v="2025-09-04T00:00:00"/>
    <d v="2025-02-16T00:00:00"/>
    <x v="401"/>
    <x v="3"/>
    <n v="365.77"/>
    <x v="1"/>
    <x v="1"/>
    <x v="1"/>
    <n v="200"/>
  </r>
  <r>
    <n v="1013"/>
    <s v="Rachel Carlson"/>
    <x v="57"/>
    <x v="0"/>
    <d v="2026-01-05T00:00:00"/>
    <d v="2024-12-12T00:00:00"/>
    <x v="402"/>
    <x v="2"/>
    <n v="379.39"/>
    <x v="0"/>
    <x v="0"/>
    <x v="3"/>
    <n v="389"/>
  </r>
  <r>
    <n v="1027"/>
    <s v="Miss Stacey Weaver"/>
    <x v="68"/>
    <x v="1"/>
    <d v="2025-04-14T00:00:00"/>
    <d v="2024-06-20T00:00:00"/>
    <x v="403"/>
    <x v="1"/>
    <n v="4.87"/>
    <x v="1"/>
    <x v="1"/>
    <x v="0"/>
    <n v="298"/>
  </r>
  <r>
    <n v="1070"/>
    <s v="Steven Giles"/>
    <x v="44"/>
    <x v="0"/>
    <d v="2025-12-01T00:00:00"/>
    <d v="2024-12-29T00:00:00"/>
    <x v="404"/>
    <x v="3"/>
    <n v="402.06"/>
    <x v="1"/>
    <x v="1"/>
    <x v="4"/>
    <n v="337"/>
  </r>
  <r>
    <n v="1050"/>
    <s v="Trevor Taylor"/>
    <x v="10"/>
    <x v="0"/>
    <d v="2025-06-19T00:00:00"/>
    <d v="2024-09-01T00:00:00"/>
    <x v="405"/>
    <x v="2"/>
    <n v="313.52999999999997"/>
    <x v="1"/>
    <x v="1"/>
    <x v="1"/>
    <n v="291"/>
  </r>
  <r>
    <n v="1010"/>
    <s v="Erica Robbins"/>
    <x v="9"/>
    <x v="0"/>
    <d v="2025-07-04T00:00:00"/>
    <d v="2024-10-31T00:00:00"/>
    <x v="406"/>
    <x v="3"/>
    <n v="400.6"/>
    <x v="0"/>
    <x v="1"/>
    <x v="1"/>
    <n v="246"/>
  </r>
  <r>
    <n v="1017"/>
    <s v="Alexander Rios"/>
    <x v="63"/>
    <x v="0"/>
    <d v="2025-05-18T00:00:00"/>
    <d v="2024-07-22T00:00:00"/>
    <x v="407"/>
    <x v="1"/>
    <n v="341.81"/>
    <x v="1"/>
    <x v="1"/>
    <x v="2"/>
    <n v="300"/>
  </r>
  <r>
    <n v="1085"/>
    <s v="Jennifer Reese"/>
    <x v="40"/>
    <x v="0"/>
    <d v="2025-11-07T00:00:00"/>
    <d v="2024-08-11T00:00:00"/>
    <x v="408"/>
    <x v="0"/>
    <n v="475.01"/>
    <x v="1"/>
    <x v="1"/>
    <x v="1"/>
    <n v="453"/>
  </r>
  <r>
    <n v="1023"/>
    <s v="Daniel Valenzuela"/>
    <x v="4"/>
    <x v="1"/>
    <d v="2025-06-21T00:00:00"/>
    <d v="2025-03-13T00:00:00"/>
    <x v="409"/>
    <x v="0"/>
    <n v="245.21"/>
    <x v="0"/>
    <x v="1"/>
    <x v="2"/>
    <n v="100"/>
  </r>
  <r>
    <n v="1066"/>
    <s v="Alexander Jones"/>
    <x v="49"/>
    <x v="0"/>
    <d v="2025-12-09T00:00:00"/>
    <d v="2025-01-30T00:00:00"/>
    <x v="410"/>
    <x v="3"/>
    <n v="5.48"/>
    <x v="0"/>
    <x v="1"/>
    <x v="6"/>
    <n v="313"/>
  </r>
  <r>
    <n v="1038"/>
    <s v="Robert Myers DDS"/>
    <x v="14"/>
    <x v="0"/>
    <d v="2025-08-27T00:00:00"/>
    <d v="2024-12-07T00:00:00"/>
    <x v="411"/>
    <x v="2"/>
    <n v="5.5"/>
    <x v="0"/>
    <x v="1"/>
    <x v="0"/>
    <n v="263"/>
  </r>
  <r>
    <n v="1048"/>
    <s v="Jennifer Sims"/>
    <x v="41"/>
    <x v="0"/>
    <d v="2025-10-15T00:00:00"/>
    <d v="2025-02-02T00:00:00"/>
    <x v="412"/>
    <x v="0"/>
    <n v="353.6"/>
    <x v="0"/>
    <x v="1"/>
    <x v="1"/>
    <n v="255"/>
  </r>
  <r>
    <n v="1082"/>
    <s v="Jenna Williams"/>
    <x v="27"/>
    <x v="0"/>
    <d v="2025-07-19T00:00:00"/>
    <d v="2024-12-04T00:00:00"/>
    <x v="413"/>
    <x v="3"/>
    <n v="149.33000000000001"/>
    <x v="0"/>
    <x v="1"/>
    <x v="1"/>
    <n v="227"/>
  </r>
  <r>
    <n v="1085"/>
    <s v="Jamie Nixon"/>
    <x v="1"/>
    <x v="1"/>
    <d v="2026-03-16T00:00:00"/>
    <d v="2024-06-19T00:00:00"/>
    <x v="414"/>
    <x v="3"/>
    <n v="412.82"/>
    <x v="1"/>
    <x v="0"/>
    <x v="1"/>
    <n v="635"/>
  </r>
  <r>
    <n v="1046"/>
    <s v="Maria Harris"/>
    <x v="54"/>
    <x v="0"/>
    <d v="2025-07-19T00:00:00"/>
    <d v="2024-08-29T00:00:00"/>
    <x v="415"/>
    <x v="1"/>
    <n v="495.43"/>
    <x v="1"/>
    <x v="1"/>
    <x v="3"/>
    <n v="324"/>
  </r>
  <r>
    <n v="1093"/>
    <s v="Angela Davis"/>
    <x v="43"/>
    <x v="0"/>
    <d v="2026-01-22T00:00:00"/>
    <d v="2024-11-03T00:00:00"/>
    <x v="416"/>
    <x v="1"/>
    <n v="80.81"/>
    <x v="1"/>
    <x v="0"/>
    <x v="6"/>
    <n v="445"/>
  </r>
  <r>
    <n v="1072"/>
    <s v="Alex Burns"/>
    <x v="9"/>
    <x v="1"/>
    <d v="2026-01-10T00:00:00"/>
    <d v="2025-09-11T00:00:00"/>
    <x v="417"/>
    <x v="0"/>
    <n v="325.38"/>
    <x v="1"/>
    <x v="0"/>
    <x v="1"/>
    <n v="121"/>
  </r>
  <r>
    <n v="1089"/>
    <s v="Thomas Banks"/>
    <x v="56"/>
    <x v="1"/>
    <d v="2025-12-09T00:00:00"/>
    <d v="2025-10-21T00:00:00"/>
    <x v="418"/>
    <x v="0"/>
    <n v="4.97"/>
    <x v="1"/>
    <x v="1"/>
    <x v="0"/>
    <n v="49"/>
  </r>
  <r>
    <n v="1007"/>
    <s v="Courtney Everett"/>
    <x v="45"/>
    <x v="0"/>
    <d v="2026-01-09T00:00:00"/>
    <d v="2024-08-09T00:00:00"/>
    <x v="419"/>
    <x v="0"/>
    <n v="347.01"/>
    <x v="1"/>
    <x v="0"/>
    <x v="5"/>
    <n v="518"/>
  </r>
  <r>
    <n v="1030"/>
    <s v="Lori Montgomery"/>
    <x v="25"/>
    <x v="1"/>
    <d v="2026-02-26T00:00:00"/>
    <d v="2025-09-07T00:00:00"/>
    <x v="420"/>
    <x v="1"/>
    <n v="117.12"/>
    <x v="0"/>
    <x v="0"/>
    <x v="3"/>
    <n v="172"/>
  </r>
  <r>
    <n v="1088"/>
    <s v="Sarah Fuller"/>
    <x v="56"/>
    <x v="1"/>
    <d v="2026-03-06T00:00:00"/>
    <d v="2025-06-18T00:00:00"/>
    <x v="421"/>
    <x v="0"/>
    <n v="5.0599999999999996"/>
    <x v="0"/>
    <x v="0"/>
    <x v="0"/>
    <n v="261"/>
  </r>
  <r>
    <n v="1077"/>
    <s v="Julia Mckenzie"/>
    <x v="39"/>
    <x v="1"/>
    <d v="2025-08-13T00:00:00"/>
    <d v="2025-02-10T00:00:00"/>
    <x v="422"/>
    <x v="0"/>
    <n v="102.97"/>
    <x v="0"/>
    <x v="1"/>
    <x v="3"/>
    <n v="184"/>
  </r>
  <r>
    <n v="1019"/>
    <s v="Eric Kim"/>
    <x v="66"/>
    <x v="0"/>
    <d v="2025-06-13T00:00:00"/>
    <d v="2024-06-09T00:00:00"/>
    <x v="423"/>
    <x v="3"/>
    <s v=""/>
    <x v="1"/>
    <x v="1"/>
    <x v="5"/>
    <n v="369"/>
  </r>
  <r>
    <n v="1065"/>
    <s v="Anne Jacobs"/>
    <x v="52"/>
    <x v="1"/>
    <d v="2026-03-04T00:00:00"/>
    <d v="2026-01-28T00:00:00"/>
    <x v="424"/>
    <x v="1"/>
    <n v="462.02"/>
    <x v="0"/>
    <x v="0"/>
    <x v="5"/>
    <n v="35"/>
  </r>
  <r>
    <n v="1081"/>
    <s v="Brandy Navarro"/>
    <x v="57"/>
    <x v="0"/>
    <d v="2025-07-16T00:00:00"/>
    <d v="2025-06-13T00:00:00"/>
    <x v="425"/>
    <x v="1"/>
    <n v="3.17"/>
    <x v="0"/>
    <x v="1"/>
    <x v="3"/>
    <n v="33"/>
  </r>
  <r>
    <n v="1058"/>
    <s v="Jennifer Lowery"/>
    <x v="46"/>
    <x v="0"/>
    <d v="2025-09-16T00:00:00"/>
    <d v="2025-03-23T00:00:00"/>
    <x v="426"/>
    <x v="0"/>
    <n v="248.86"/>
    <x v="1"/>
    <x v="1"/>
    <x v="3"/>
    <n v="177"/>
  </r>
  <r>
    <n v="1034"/>
    <s v="Thomas Nash"/>
    <x v="68"/>
    <x v="0"/>
    <d v="2025-06-05T00:00:00"/>
    <d v="2025-01-20T00:00:00"/>
    <x v="427"/>
    <x v="0"/>
    <n v="1.99"/>
    <x v="0"/>
    <x v="1"/>
    <x v="0"/>
    <n v="136"/>
  </r>
  <r>
    <n v="1068"/>
    <s v="Yolanda Thomas"/>
    <x v="10"/>
    <x v="0"/>
    <d v="2025-12-15T00:00:00"/>
    <d v="2024-07-10T00:00:00"/>
    <x v="428"/>
    <x v="2"/>
    <s v=""/>
    <x v="0"/>
    <x v="1"/>
    <x v="1"/>
    <n v="523"/>
  </r>
  <r>
    <n v="1030"/>
    <s v="Victor Simmons"/>
    <x v="56"/>
    <x v="1"/>
    <d v="2026-02-10T00:00:00"/>
    <d v="2025-01-17T00:00:00"/>
    <x v="429"/>
    <x v="0"/>
    <n v="543.54999999999995"/>
    <x v="1"/>
    <x v="0"/>
    <x v="0"/>
    <n v="389"/>
  </r>
  <r>
    <n v="1013"/>
    <s v="Edward Holland"/>
    <x v="23"/>
    <x v="1"/>
    <d v="2025-09-07T00:00:00"/>
    <d v="2025-01-11T00:00:00"/>
    <x v="430"/>
    <x v="2"/>
    <n v="340.35"/>
    <x v="1"/>
    <x v="1"/>
    <x v="6"/>
    <n v="239"/>
  </r>
  <r>
    <n v="1092"/>
    <s v="Mary Foster"/>
    <x v="24"/>
    <x v="1"/>
    <d v="2025-04-20T00:00:00"/>
    <d v="2024-10-09T00:00:00"/>
    <x v="431"/>
    <x v="0"/>
    <n v="496.31"/>
    <x v="0"/>
    <x v="1"/>
    <x v="2"/>
    <n v="193"/>
  </r>
  <r>
    <n v="1027"/>
    <s v="Michael Sullivan"/>
    <x v="41"/>
    <x v="1"/>
    <d v="2025-07-09T00:00:00"/>
    <d v="2024-07-31T00:00:00"/>
    <x v="432"/>
    <x v="1"/>
    <n v="3.51"/>
    <x v="0"/>
    <x v="1"/>
    <x v="1"/>
    <n v="343"/>
  </r>
  <r>
    <n v="1067"/>
    <s v="Thomas Smith"/>
    <x v="8"/>
    <x v="0"/>
    <d v="2025-09-11T00:00:00"/>
    <d v="2025-09-05T00:00:00"/>
    <x v="433"/>
    <x v="0"/>
    <n v="108.91"/>
    <x v="1"/>
    <x v="1"/>
    <x v="4"/>
    <n v="6"/>
  </r>
  <r>
    <n v="1059"/>
    <s v="Melissa Ramirez"/>
    <x v="21"/>
    <x v="1"/>
    <d v="2025-09-10T00:00:00"/>
    <d v="2024-10-30T00:00:00"/>
    <x v="434"/>
    <x v="2"/>
    <n v="222.35"/>
    <x v="0"/>
    <x v="1"/>
    <x v="5"/>
    <n v="315"/>
  </r>
  <r>
    <n v="1040"/>
    <s v="Rachel Baker"/>
    <x v="6"/>
    <x v="0"/>
    <d v="2025-12-15T00:00:00"/>
    <d v="2024-05-18T00:00:00"/>
    <x v="435"/>
    <x v="1"/>
    <n v="591.41"/>
    <x v="1"/>
    <x v="1"/>
    <x v="3"/>
    <n v="576"/>
  </r>
  <r>
    <n v="1058"/>
    <s v="Penny West"/>
    <x v="32"/>
    <x v="0"/>
    <d v="2025-10-24T00:00:00"/>
    <d v="2025-03-27T00:00:00"/>
    <x v="436"/>
    <x v="2"/>
    <n v="396.57"/>
    <x v="0"/>
    <x v="1"/>
    <x v="6"/>
    <n v="211"/>
  </r>
  <r>
    <n v="1080"/>
    <s v="Michelle Mcclain"/>
    <x v="4"/>
    <x v="0"/>
    <d v="2025-11-11T00:00:00"/>
    <d v="2025-06-10T00:00:00"/>
    <x v="437"/>
    <x v="0"/>
    <n v="2.04"/>
    <x v="1"/>
    <x v="1"/>
    <x v="2"/>
    <n v="154"/>
  </r>
  <r>
    <n v="1026"/>
    <s v="Jennifer Davis"/>
    <x v="3"/>
    <x v="0"/>
    <d v="2026-02-17T00:00:00"/>
    <d v="2024-05-09T00:00:00"/>
    <x v="438"/>
    <x v="0"/>
    <n v="215.89"/>
    <x v="1"/>
    <x v="0"/>
    <x v="2"/>
    <n v="649"/>
  </r>
  <r>
    <n v="1058"/>
    <s v="Kimberly Lee"/>
    <x v="19"/>
    <x v="2"/>
    <d v="2025-10-19T00:00:00"/>
    <d v="2024-11-16T00:00:00"/>
    <x v="439"/>
    <x v="2"/>
    <n v="583.62"/>
    <x v="1"/>
    <x v="1"/>
    <x v="6"/>
    <n v="337"/>
  </r>
  <r>
    <n v="1065"/>
    <s v="Paul Perez"/>
    <x v="50"/>
    <x v="1"/>
    <d v="2025-08-24T00:00:00"/>
    <d v="2025-07-29T00:00:00"/>
    <x v="440"/>
    <x v="2"/>
    <n v="259.5"/>
    <x v="0"/>
    <x v="1"/>
    <x v="3"/>
    <n v="26"/>
  </r>
  <r>
    <n v="1016"/>
    <s v="Tyler Smith"/>
    <x v="24"/>
    <x v="1"/>
    <d v="2025-11-05T00:00:00"/>
    <d v="2024-08-03T00:00:00"/>
    <x v="441"/>
    <x v="3"/>
    <s v=""/>
    <x v="0"/>
    <x v="1"/>
    <x v="2"/>
    <n v="459"/>
  </r>
  <r>
    <n v="1064"/>
    <s v="Anthony Boyd"/>
    <x v="57"/>
    <x v="0"/>
    <d v="2026-02-20T00:00:00"/>
    <d v="2025-07-06T00:00:00"/>
    <x v="442"/>
    <x v="3"/>
    <n v="231.22"/>
    <x v="0"/>
    <x v="0"/>
    <x v="3"/>
    <n v="229"/>
  </r>
  <r>
    <n v="1036"/>
    <s v="Henry Snyder"/>
    <x v="65"/>
    <x v="1"/>
    <d v="2025-10-16T00:00:00"/>
    <d v="2024-04-29T00:00:00"/>
    <x v="443"/>
    <x v="0"/>
    <n v="285.44"/>
    <x v="0"/>
    <x v="1"/>
    <x v="4"/>
    <n v="535"/>
  </r>
  <r>
    <n v="1017"/>
    <s v="Sabrina Wade"/>
    <x v="21"/>
    <x v="0"/>
    <d v="2025-07-20T00:00:00"/>
    <d v="2025-05-14T00:00:00"/>
    <x v="444"/>
    <x v="3"/>
    <n v="2.23"/>
    <x v="1"/>
    <x v="1"/>
    <x v="5"/>
    <n v="67"/>
  </r>
  <r>
    <n v="1005"/>
    <s v="Cody Scott"/>
    <x v="1"/>
    <x v="1"/>
    <d v="2025-10-06T00:00:00"/>
    <d v="2024-11-29T00:00:00"/>
    <x v="445"/>
    <x v="2"/>
    <n v="429.49"/>
    <x v="0"/>
    <x v="1"/>
    <x v="1"/>
    <n v="311"/>
  </r>
  <r>
    <n v="1086"/>
    <s v="David Mcdonald"/>
    <x v="32"/>
    <x v="1"/>
    <d v="2025-12-24T00:00:00"/>
    <d v="2024-08-30T00:00:00"/>
    <x v="446"/>
    <x v="3"/>
    <n v="402.54"/>
    <x v="0"/>
    <x v="1"/>
    <x v="6"/>
    <n v="481"/>
  </r>
  <r>
    <n v="1095"/>
    <s v="Sherri Guzman"/>
    <x v="31"/>
    <x v="1"/>
    <d v="2025-09-14T00:00:00"/>
    <d v="2024-05-20T00:00:00"/>
    <x v="447"/>
    <x v="1"/>
    <n v="628.52"/>
    <x v="0"/>
    <x v="1"/>
    <x v="5"/>
    <n v="482"/>
  </r>
  <r>
    <n v="1030"/>
    <s v="Mr. Brian Anderson"/>
    <x v="62"/>
    <x v="0"/>
    <d v="2025-04-24T00:00:00"/>
    <d v="2024-04-14T00:00:00"/>
    <x v="448"/>
    <x v="1"/>
    <n v="467.28"/>
    <x v="1"/>
    <x v="1"/>
    <x v="3"/>
    <n v="375"/>
  </r>
  <r>
    <n v="1059"/>
    <s v="Kayla Mccormick"/>
    <x v="32"/>
    <x v="0"/>
    <d v="2026-03-16T00:00:00"/>
    <d v="2024-12-04T00:00:00"/>
    <x v="449"/>
    <x v="2"/>
    <n v="244.68"/>
    <x v="0"/>
    <x v="0"/>
    <x v="6"/>
    <n v="467"/>
  </r>
  <r>
    <n v="1012"/>
    <s v="Mark Reeves"/>
    <x v="39"/>
    <x v="0"/>
    <d v="2026-01-08T00:00:00"/>
    <d v="2025-08-19T00:00:00"/>
    <x v="450"/>
    <x v="0"/>
    <n v="70.7"/>
    <x v="0"/>
    <x v="0"/>
    <x v="3"/>
    <n v="142"/>
  </r>
  <r>
    <n v="1074"/>
    <s v="Debra Short"/>
    <x v="38"/>
    <x v="1"/>
    <d v="2025-06-24T00:00:00"/>
    <d v="2024-10-06T00:00:00"/>
    <x v="451"/>
    <x v="3"/>
    <n v="432.73"/>
    <x v="1"/>
    <x v="1"/>
    <x v="1"/>
    <n v="261"/>
  </r>
  <r>
    <n v="1082"/>
    <s v="Melissa Richmond"/>
    <x v="66"/>
    <x v="1"/>
    <d v="2025-06-11T00:00:00"/>
    <d v="2025-02-19T00:00:00"/>
    <x v="452"/>
    <x v="2"/>
    <n v="387.75"/>
    <x v="0"/>
    <x v="1"/>
    <x v="5"/>
    <n v="112"/>
  </r>
  <r>
    <n v="1009"/>
    <s v="Linda Murphy"/>
    <x v="41"/>
    <x v="1"/>
    <d v="2026-02-17T00:00:00"/>
    <d v="2026-01-11T00:00:00"/>
    <x v="453"/>
    <x v="0"/>
    <n v="1.94"/>
    <x v="1"/>
    <x v="0"/>
    <x v="1"/>
    <n v="37"/>
  </r>
  <r>
    <n v="1091"/>
    <s v="Michael Gonzales"/>
    <x v="23"/>
    <x v="1"/>
    <d v="2025-12-23T00:00:00"/>
    <d v="2024-11-24T00:00:00"/>
    <x v="454"/>
    <x v="3"/>
    <n v="5.41"/>
    <x v="1"/>
    <x v="1"/>
    <x v="6"/>
    <n v="394"/>
  </r>
  <r>
    <n v="1038"/>
    <s v="Samantha Garner"/>
    <x v="8"/>
    <x v="0"/>
    <d v="2025-06-16T00:00:00"/>
    <d v="2025-04-24T00:00:00"/>
    <x v="455"/>
    <x v="3"/>
    <n v="325.91000000000003"/>
    <x v="1"/>
    <x v="1"/>
    <x v="4"/>
    <n v="53"/>
  </r>
  <r>
    <n v="1037"/>
    <s v="David Reeves"/>
    <x v="61"/>
    <x v="1"/>
    <d v="2025-12-06T00:00:00"/>
    <d v="2025-01-19T00:00:00"/>
    <x v="456"/>
    <x v="3"/>
    <s v=""/>
    <x v="1"/>
    <x v="1"/>
    <x v="4"/>
    <n v="321"/>
  </r>
  <r>
    <n v="1053"/>
    <s v="Jennifer Schwartz"/>
    <x v="39"/>
    <x v="0"/>
    <d v="2025-12-31T00:00:00"/>
    <d v="2025-11-14T00:00:00"/>
    <x v="457"/>
    <x v="0"/>
    <n v="280.20999999999998"/>
    <x v="0"/>
    <x v="1"/>
    <x v="3"/>
    <n v="47"/>
  </r>
  <r>
    <n v="1043"/>
    <s v="William Conley"/>
    <x v="50"/>
    <x v="0"/>
    <d v="2025-09-27T00:00:00"/>
    <d v="2025-06-19T00:00:00"/>
    <x v="458"/>
    <x v="3"/>
    <n v="0.97"/>
    <x v="1"/>
    <x v="1"/>
    <x v="3"/>
    <n v="100"/>
  </r>
  <r>
    <n v="1021"/>
    <s v="Kelly Ayers"/>
    <x v="55"/>
    <x v="1"/>
    <d v="2026-02-16T00:00:00"/>
    <d v="2025-04-04T00:00:00"/>
    <x v="459"/>
    <x v="2"/>
    <n v="443.75"/>
    <x v="0"/>
    <x v="0"/>
    <x v="4"/>
    <n v="318"/>
  </r>
  <r>
    <n v="1059"/>
    <s v="James Perry"/>
    <x v="7"/>
    <x v="1"/>
    <d v="2025-08-27T00:00:00"/>
    <d v="2024-04-05T00:00:00"/>
    <x v="460"/>
    <x v="0"/>
    <n v="385.61"/>
    <x v="0"/>
    <x v="1"/>
    <x v="4"/>
    <n v="509"/>
  </r>
  <r>
    <n v="1038"/>
    <s v="Steven Phelps"/>
    <x v="30"/>
    <x v="0"/>
    <d v="2025-05-13T00:00:00"/>
    <d v="2024-07-18T00:00:00"/>
    <x v="461"/>
    <x v="0"/>
    <n v="3.86"/>
    <x v="0"/>
    <x v="1"/>
    <x v="3"/>
    <n v="299"/>
  </r>
  <r>
    <n v="1065"/>
    <s v="Mark Daniels"/>
    <x v="68"/>
    <x v="1"/>
    <d v="2025-12-14T00:00:00"/>
    <d v="2024-05-30T00:00:00"/>
    <x v="462"/>
    <x v="1"/>
    <n v="255.56"/>
    <x v="0"/>
    <x v="1"/>
    <x v="0"/>
    <n v="563"/>
  </r>
  <r>
    <n v="1031"/>
    <s v="Zachary Williams"/>
    <x v="66"/>
    <x v="1"/>
    <d v="2025-09-13T00:00:00"/>
    <d v="2024-07-02T00:00:00"/>
    <x v="463"/>
    <x v="1"/>
    <n v="610.24"/>
    <x v="0"/>
    <x v="1"/>
    <x v="5"/>
    <n v="438"/>
  </r>
  <r>
    <n v="1018"/>
    <s v="Carly Ford"/>
    <x v="22"/>
    <x v="0"/>
    <d v="2025-07-23T00:00:00"/>
    <d v="2025-06-22T00:00:00"/>
    <x v="464"/>
    <x v="2"/>
    <n v="154.88"/>
    <x v="1"/>
    <x v="1"/>
    <x v="3"/>
    <n v="31"/>
  </r>
  <r>
    <n v="1081"/>
    <s v="Elaine Williams"/>
    <x v="24"/>
    <x v="0"/>
    <d v="2026-03-15T00:00:00"/>
    <d v="2024-05-23T00:00:00"/>
    <x v="465"/>
    <x v="0"/>
    <n v="2.08"/>
    <x v="0"/>
    <x v="0"/>
    <x v="2"/>
    <n v="661"/>
  </r>
  <r>
    <n v="1098"/>
    <s v="Randy Wright"/>
    <x v="57"/>
    <x v="0"/>
    <d v="2025-08-14T00:00:00"/>
    <d v="2024-12-02T00:00:00"/>
    <x v="466"/>
    <x v="1"/>
    <n v="305.17"/>
    <x v="1"/>
    <x v="1"/>
    <x v="3"/>
    <n v="255"/>
  </r>
  <r>
    <n v="1070"/>
    <s v="Charles Foley"/>
    <x v="18"/>
    <x v="1"/>
    <d v="2025-09-19T00:00:00"/>
    <d v="2024-09-28T00:00:00"/>
    <x v="467"/>
    <x v="0"/>
    <n v="504.41"/>
    <x v="0"/>
    <x v="1"/>
    <x v="4"/>
    <n v="356"/>
  </r>
  <r>
    <n v="1093"/>
    <s v="Ryan Kennedy"/>
    <x v="16"/>
    <x v="0"/>
    <d v="2026-02-07T00:00:00"/>
    <d v="2024-06-27T00:00:00"/>
    <x v="468"/>
    <x v="3"/>
    <n v="490.67"/>
    <x v="0"/>
    <x v="0"/>
    <x v="6"/>
    <n v="590"/>
  </r>
  <r>
    <n v="1032"/>
    <s v="Stephen Cox"/>
    <x v="18"/>
    <x v="1"/>
    <d v="2025-09-27T00:00:00"/>
    <d v="2025-02-05T00:00:00"/>
    <x v="469"/>
    <x v="0"/>
    <n v="131.9"/>
    <x v="1"/>
    <x v="1"/>
    <x v="4"/>
    <n v="234"/>
  </r>
  <r>
    <n v="1071"/>
    <s v="Jennifer Jackson"/>
    <x v="56"/>
    <x v="0"/>
    <d v="2025-07-29T00:00:00"/>
    <d v="2024-04-14T00:00:00"/>
    <x v="470"/>
    <x v="2"/>
    <n v="105.64"/>
    <x v="1"/>
    <x v="1"/>
    <x v="0"/>
    <n v="471"/>
  </r>
  <r>
    <n v="1067"/>
    <s v="Jessica Wilson"/>
    <x v="14"/>
    <x v="0"/>
    <d v="2026-03-20T00:00:00"/>
    <d v="2024-07-13T00:00:00"/>
    <x v="471"/>
    <x v="1"/>
    <n v="489.64"/>
    <x v="1"/>
    <x v="0"/>
    <x v="0"/>
    <n v="615"/>
  </r>
  <r>
    <n v="1090"/>
    <s v="Brittany Wall"/>
    <x v="31"/>
    <x v="1"/>
    <d v="2026-02-28T00:00:00"/>
    <d v="2024-04-18T00:00:00"/>
    <x v="472"/>
    <x v="3"/>
    <n v="0.85"/>
    <x v="1"/>
    <x v="0"/>
    <x v="5"/>
    <n v="681"/>
  </r>
  <r>
    <n v="1027"/>
    <s v="Diane Adams"/>
    <x v="16"/>
    <x v="0"/>
    <d v="2025-12-30T00:00:00"/>
    <d v="2025-01-09T00:00:00"/>
    <x v="473"/>
    <x v="3"/>
    <n v="132.97"/>
    <x v="1"/>
    <x v="1"/>
    <x v="6"/>
    <n v="355"/>
  </r>
  <r>
    <n v="1073"/>
    <s v="Shawn Moon"/>
    <x v="61"/>
    <x v="1"/>
    <d v="2026-03-17T00:00:00"/>
    <d v="2025-10-20T00:00:00"/>
    <x v="474"/>
    <x v="2"/>
    <n v="174.37"/>
    <x v="0"/>
    <x v="0"/>
    <x v="4"/>
    <n v="148"/>
  </r>
  <r>
    <n v="1092"/>
    <s v="Sharon Lopez"/>
    <x v="2"/>
    <x v="1"/>
    <d v="2025-09-09T00:00:00"/>
    <d v="2025-02-02T00:00:00"/>
    <x v="475"/>
    <x v="2"/>
    <n v="487.57"/>
    <x v="1"/>
    <x v="1"/>
    <x v="0"/>
    <n v="219"/>
  </r>
  <r>
    <n v="1083"/>
    <s v="Timothy Ramirez"/>
    <x v="18"/>
    <x v="0"/>
    <d v="2025-11-18T00:00:00"/>
    <d v="2025-02-07T00:00:00"/>
    <x v="476"/>
    <x v="0"/>
    <n v="4.54"/>
    <x v="1"/>
    <x v="1"/>
    <x v="4"/>
    <n v="284"/>
  </r>
  <r>
    <n v="1091"/>
    <s v="Daniel Marshall"/>
    <x v="70"/>
    <x v="1"/>
    <d v="2025-12-11T00:00:00"/>
    <d v="2025-04-23T00:00:00"/>
    <x v="477"/>
    <x v="0"/>
    <n v="395.68"/>
    <x v="0"/>
    <x v="1"/>
    <x v="0"/>
    <n v="232"/>
  </r>
  <r>
    <n v="1057"/>
    <s v="Andre Pitts"/>
    <x v="47"/>
    <x v="0"/>
    <d v="2026-01-26T00:00:00"/>
    <d v="2024-09-30T00:00:00"/>
    <x v="478"/>
    <x v="3"/>
    <n v="539.16999999999996"/>
    <x v="0"/>
    <x v="0"/>
    <x v="4"/>
    <n v="483"/>
  </r>
  <r>
    <n v="1018"/>
    <s v="Mary Garcia"/>
    <x v="8"/>
    <x v="1"/>
    <d v="2025-10-21T00:00:00"/>
    <d v="2025-04-11T00:00:00"/>
    <x v="479"/>
    <x v="3"/>
    <n v="252.53"/>
    <x v="0"/>
    <x v="1"/>
    <x v="4"/>
    <n v="193"/>
  </r>
  <r>
    <n v="1002"/>
    <s v="Lawrence Ford"/>
    <x v="72"/>
    <x v="0"/>
    <d v="2025-07-09T00:00:00"/>
    <d v="2025-01-03T00:00:00"/>
    <x v="480"/>
    <x v="2"/>
    <n v="187.94"/>
    <x v="0"/>
    <x v="1"/>
    <x v="6"/>
    <n v="187"/>
  </r>
  <r>
    <n v="1084"/>
    <s v="Monica Mcclure"/>
    <x v="32"/>
    <x v="0"/>
    <d v="2025-05-24T00:00:00"/>
    <d v="2024-05-10T00:00:00"/>
    <x v="481"/>
    <x v="3"/>
    <n v="3.83"/>
    <x v="0"/>
    <x v="1"/>
    <x v="6"/>
    <n v="379"/>
  </r>
  <r>
    <n v="1005"/>
    <s v="Troy Richards"/>
    <x v="56"/>
    <x v="0"/>
    <d v="2025-05-16T00:00:00"/>
    <d v="2024-11-13T00:00:00"/>
    <x v="482"/>
    <x v="2"/>
    <n v="405.68"/>
    <x v="0"/>
    <x v="1"/>
    <x v="0"/>
    <n v="184"/>
  </r>
  <r>
    <n v="1094"/>
    <s v="Anna Rowe"/>
    <x v="65"/>
    <x v="0"/>
    <d v="2026-02-26T00:00:00"/>
    <d v="2024-08-25T00:00:00"/>
    <x v="483"/>
    <x v="2"/>
    <n v="93.64"/>
    <x v="1"/>
    <x v="0"/>
    <x v="4"/>
    <n v="550"/>
  </r>
  <r>
    <n v="1084"/>
    <s v="Michael Espinoza"/>
    <x v="33"/>
    <x v="0"/>
    <d v="2025-04-29T00:00:00"/>
    <d v="2024-12-06T00:00:00"/>
    <x v="484"/>
    <x v="2"/>
    <n v="479.32"/>
    <x v="1"/>
    <x v="1"/>
    <x v="4"/>
    <n v="144"/>
  </r>
  <r>
    <n v="1044"/>
    <s v="Kenneth Dixon"/>
    <x v="9"/>
    <x v="1"/>
    <d v="2025-08-19T00:00:00"/>
    <d v="2025-01-31T00:00:00"/>
    <x v="485"/>
    <x v="1"/>
    <n v="450.69"/>
    <x v="0"/>
    <x v="1"/>
    <x v="1"/>
    <n v="200"/>
  </r>
  <r>
    <n v="1067"/>
    <s v="Justin Ortiz"/>
    <x v="47"/>
    <x v="1"/>
    <d v="2025-11-08T00:00:00"/>
    <d v="2025-03-30T00:00:00"/>
    <x v="486"/>
    <x v="0"/>
    <n v="311.57"/>
    <x v="1"/>
    <x v="1"/>
    <x v="4"/>
    <n v="223"/>
  </r>
  <r>
    <n v="1083"/>
    <s v="Melissa Wagner"/>
    <x v="65"/>
    <x v="1"/>
    <d v="2025-09-18T00:00:00"/>
    <d v="2024-06-15T00:00:00"/>
    <x v="487"/>
    <x v="2"/>
    <n v="2.41"/>
    <x v="0"/>
    <x v="1"/>
    <x v="4"/>
    <n v="460"/>
  </r>
  <r>
    <n v="1017"/>
    <s v="Jamie Miller"/>
    <x v="32"/>
    <x v="0"/>
    <d v="2026-02-05T00:00:00"/>
    <d v="2024-05-28T00:00:00"/>
    <x v="488"/>
    <x v="1"/>
    <n v="214.13"/>
    <x v="1"/>
    <x v="0"/>
    <x v="6"/>
    <n v="618"/>
  </r>
  <r>
    <n v="1080"/>
    <s v="Cynthia Jones"/>
    <x v="48"/>
    <x v="1"/>
    <d v="2025-05-31T00:00:00"/>
    <d v="2024-05-26T00:00:00"/>
    <x v="489"/>
    <x v="1"/>
    <n v="3.5"/>
    <x v="0"/>
    <x v="1"/>
    <x v="5"/>
    <n v="370"/>
  </r>
  <r>
    <n v="1089"/>
    <s v="Henry Quinn"/>
    <x v="13"/>
    <x v="0"/>
    <d v="2025-08-10T00:00:00"/>
    <d v="2025-04-22T00:00:00"/>
    <x v="490"/>
    <x v="3"/>
    <n v="350"/>
    <x v="1"/>
    <x v="1"/>
    <x v="3"/>
    <n v="110"/>
  </r>
  <r>
    <n v="1070"/>
    <s v="Jake Robinson"/>
    <x v="40"/>
    <x v="0"/>
    <d v="2025-09-09T00:00:00"/>
    <d v="2024-11-25T00:00:00"/>
    <x v="491"/>
    <x v="0"/>
    <n v="1.96"/>
    <x v="0"/>
    <x v="1"/>
    <x v="1"/>
    <n v="288"/>
  </r>
  <r>
    <n v="1093"/>
    <s v="Kimberly Morrison"/>
    <x v="21"/>
    <x v="0"/>
    <d v="2026-03-04T00:00:00"/>
    <d v="2024-09-11T00:00:00"/>
    <x v="492"/>
    <x v="1"/>
    <n v="248.31"/>
    <x v="0"/>
    <x v="0"/>
    <x v="5"/>
    <n v="539"/>
  </r>
  <r>
    <n v="1088"/>
    <s v="Ricardo White"/>
    <x v="35"/>
    <x v="1"/>
    <d v="2025-10-27T00:00:00"/>
    <d v="2025-07-11T00:00:00"/>
    <x v="493"/>
    <x v="0"/>
    <n v="3.88"/>
    <x v="0"/>
    <x v="1"/>
    <x v="5"/>
    <n v="108"/>
  </r>
  <r>
    <n v="1086"/>
    <s v="Cynthia Richard"/>
    <x v="12"/>
    <x v="1"/>
    <d v="2026-03-17T00:00:00"/>
    <d v="2024-08-25T00:00:00"/>
    <x v="494"/>
    <x v="1"/>
    <n v="232.99"/>
    <x v="1"/>
    <x v="0"/>
    <x v="5"/>
    <n v="569"/>
  </r>
  <r>
    <n v="1033"/>
    <s v="David Thompson"/>
    <x v="3"/>
    <x v="0"/>
    <d v="2025-12-03T00:00:00"/>
    <d v="2025-08-24T00:00:00"/>
    <x v="495"/>
    <x v="0"/>
    <n v="155.28"/>
    <x v="1"/>
    <x v="1"/>
    <x v="2"/>
    <n v="101"/>
  </r>
  <r>
    <n v="1023"/>
    <s v="Mary Moon"/>
    <x v="12"/>
    <x v="1"/>
    <d v="2025-10-13T00:00:00"/>
    <d v="2025-01-08T00:00:00"/>
    <x v="496"/>
    <x v="0"/>
    <n v="102.24"/>
    <x v="1"/>
    <x v="1"/>
    <x v="5"/>
    <n v="278"/>
  </r>
  <r>
    <n v="1053"/>
    <s v="John Gallagher"/>
    <x v="7"/>
    <x v="0"/>
    <d v="2025-06-28T00:00:00"/>
    <d v="2024-11-02T00:00:00"/>
    <x v="497"/>
    <x v="0"/>
    <n v="222.44"/>
    <x v="0"/>
    <x v="1"/>
    <x v="4"/>
    <n v="238"/>
  </r>
  <r>
    <n v="1040"/>
    <s v="Benjamin Allen"/>
    <x v="22"/>
    <x v="0"/>
    <d v="2025-11-22T00:00:00"/>
    <d v="2025-04-06T00:00:00"/>
    <x v="498"/>
    <x v="0"/>
    <n v="288.02999999999997"/>
    <x v="1"/>
    <x v="1"/>
    <x v="3"/>
    <n v="230"/>
  </r>
  <r>
    <n v="1073"/>
    <s v="Abigail Holt"/>
    <x v="34"/>
    <x v="0"/>
    <d v="2025-09-11T00:00:00"/>
    <d v="2025-03-14T00:00:00"/>
    <x v="499"/>
    <x v="2"/>
    <n v="343.79"/>
    <x v="0"/>
    <x v="1"/>
    <x v="2"/>
    <n v="181"/>
  </r>
  <r>
    <n v="1031"/>
    <s v="Katherine Rogers"/>
    <x v="34"/>
    <x v="0"/>
    <d v="2025-11-19T00:00:00"/>
    <d v="2025-01-15T00:00:00"/>
    <x v="500"/>
    <x v="1"/>
    <n v="431.21"/>
    <x v="0"/>
    <x v="1"/>
    <x v="2"/>
    <n v="308"/>
  </r>
  <r>
    <n v="1093"/>
    <s v="Jason Larson"/>
    <x v="15"/>
    <x v="0"/>
    <d v="2026-02-02T00:00:00"/>
    <d v="2025-02-14T00:00:00"/>
    <x v="501"/>
    <x v="2"/>
    <n v="321.74"/>
    <x v="0"/>
    <x v="0"/>
    <x v="1"/>
    <n v="353"/>
  </r>
  <r>
    <n v="1029"/>
    <s v="Jesse Robertson"/>
    <x v="54"/>
    <x v="1"/>
    <d v="2025-07-27T00:00:00"/>
    <d v="2025-07-19T00:00:00"/>
    <x v="502"/>
    <x v="1"/>
    <n v="106.68"/>
    <x v="0"/>
    <x v="1"/>
    <x v="3"/>
    <n v="8"/>
  </r>
  <r>
    <n v="1082"/>
    <s v="Tyler Trujillo"/>
    <x v="14"/>
    <x v="1"/>
    <d v="2025-12-11T00:00:00"/>
    <d v="2025-01-24T00:00:00"/>
    <x v="503"/>
    <x v="0"/>
    <n v="222.2"/>
    <x v="1"/>
    <x v="1"/>
    <x v="0"/>
    <n v="321"/>
  </r>
  <r>
    <n v="1099"/>
    <s v="Travis Rodriguez"/>
    <x v="49"/>
    <x v="1"/>
    <d v="2025-10-20T00:00:00"/>
    <d v="2025-08-10T00:00:00"/>
    <x v="504"/>
    <x v="2"/>
    <n v="477.84"/>
    <x v="0"/>
    <x v="1"/>
    <x v="6"/>
    <n v="71"/>
  </r>
  <r>
    <n v="1065"/>
    <s v="Darren Alvarado"/>
    <x v="48"/>
    <x v="1"/>
    <d v="2025-05-29T00:00:00"/>
    <d v="2025-05-13T00:00:00"/>
    <x v="505"/>
    <x v="0"/>
    <n v="119.62"/>
    <x v="1"/>
    <x v="1"/>
    <x v="5"/>
    <n v="16"/>
  </r>
  <r>
    <n v="1041"/>
    <s v="Troy Marshall"/>
    <x v="27"/>
    <x v="0"/>
    <d v="2025-04-17T00:00:00"/>
    <d v="2024-09-15T00:00:00"/>
    <x v="506"/>
    <x v="1"/>
    <n v="478.18"/>
    <x v="1"/>
    <x v="1"/>
    <x v="1"/>
    <n v="214"/>
  </r>
  <r>
    <n v="1003"/>
    <s v="Corey Turner"/>
    <x v="57"/>
    <x v="0"/>
    <d v="2025-06-05T00:00:00"/>
    <d v="2025-03-13T00:00:00"/>
    <x v="507"/>
    <x v="1"/>
    <n v="4.79"/>
    <x v="0"/>
    <x v="1"/>
    <x v="3"/>
    <n v="84"/>
  </r>
  <r>
    <n v="1038"/>
    <s v="Ashley Wright"/>
    <x v="4"/>
    <x v="0"/>
    <d v="2026-02-26T00:00:00"/>
    <d v="2025-06-03T00:00:00"/>
    <x v="508"/>
    <x v="3"/>
    <n v="451.61"/>
    <x v="0"/>
    <x v="0"/>
    <x v="2"/>
    <n v="268"/>
  </r>
  <r>
    <n v="1061"/>
    <s v="Jose Bauer"/>
    <x v="31"/>
    <x v="0"/>
    <d v="2025-10-17T00:00:00"/>
    <d v="2025-04-07T00:00:00"/>
    <x v="509"/>
    <x v="1"/>
    <n v="437.71"/>
    <x v="1"/>
    <x v="1"/>
    <x v="5"/>
    <n v="193"/>
  </r>
  <r>
    <n v="1024"/>
    <s v="Jared Lester"/>
    <x v="29"/>
    <x v="1"/>
    <d v="2025-10-20T00:00:00"/>
    <d v="2024-09-09T00:00:00"/>
    <x v="510"/>
    <x v="1"/>
    <n v="412.86"/>
    <x v="1"/>
    <x v="1"/>
    <x v="3"/>
    <n v="406"/>
  </r>
  <r>
    <n v="1017"/>
    <s v="Jeffrey Martinez"/>
    <x v="23"/>
    <x v="0"/>
    <d v="2026-02-09T00:00:00"/>
    <d v="2026-01-21T00:00:00"/>
    <x v="511"/>
    <x v="2"/>
    <n v="469.3"/>
    <x v="1"/>
    <x v="0"/>
    <x v="6"/>
    <n v="19"/>
  </r>
  <r>
    <n v="1010"/>
    <s v="Christopher Massey"/>
    <x v="26"/>
    <x v="1"/>
    <d v="2025-07-15T00:00:00"/>
    <d v="2025-05-19T00:00:00"/>
    <x v="512"/>
    <x v="1"/>
    <n v="555.45000000000005"/>
    <x v="0"/>
    <x v="1"/>
    <x v="6"/>
    <n v="57"/>
  </r>
  <r>
    <n v="1096"/>
    <s v="Erin Small"/>
    <x v="26"/>
    <x v="1"/>
    <d v="2025-05-15T00:00:00"/>
    <d v="2025-05-13T00:00:00"/>
    <x v="513"/>
    <x v="3"/>
    <n v="452.33"/>
    <x v="1"/>
    <x v="1"/>
    <x v="6"/>
    <n v="2"/>
  </r>
  <r>
    <n v="1024"/>
    <s v="Pamela Dalton"/>
    <x v="25"/>
    <x v="1"/>
    <d v="2025-10-06T00:00:00"/>
    <d v="2024-11-28T00:00:00"/>
    <x v="514"/>
    <x v="1"/>
    <n v="5.13"/>
    <x v="1"/>
    <x v="1"/>
    <x v="3"/>
    <n v="312"/>
  </r>
  <r>
    <n v="1058"/>
    <s v="Rebecca Parrish"/>
    <x v="65"/>
    <x v="0"/>
    <d v="2026-03-15T00:00:00"/>
    <d v="2025-01-06T00:00:00"/>
    <x v="515"/>
    <x v="1"/>
    <n v="163.52000000000001"/>
    <x v="1"/>
    <x v="0"/>
    <x v="4"/>
    <n v="433"/>
  </r>
  <r>
    <n v="1068"/>
    <s v="Dominic Bell"/>
    <x v="31"/>
    <x v="1"/>
    <d v="2025-11-18T00:00:00"/>
    <d v="2024-11-18T00:00:00"/>
    <x v="516"/>
    <x v="0"/>
    <n v="3.92"/>
    <x v="0"/>
    <x v="1"/>
    <x v="5"/>
    <n v="365"/>
  </r>
  <r>
    <n v="1013"/>
    <s v="Gregory Arellano"/>
    <x v="67"/>
    <x v="0"/>
    <d v="2025-08-05T00:00:00"/>
    <d v="2025-07-07T00:00:00"/>
    <x v="517"/>
    <x v="1"/>
    <n v="400.62"/>
    <x v="1"/>
    <x v="1"/>
    <x v="0"/>
    <n v="29"/>
  </r>
  <r>
    <n v="1009"/>
    <s v="Laura Chan"/>
    <x v="37"/>
    <x v="0"/>
    <d v="2026-02-17T00:00:00"/>
    <d v="2026-01-16T00:00:00"/>
    <x v="518"/>
    <x v="0"/>
    <n v="177.93"/>
    <x v="1"/>
    <x v="0"/>
    <x v="2"/>
    <n v="32"/>
  </r>
  <r>
    <n v="1031"/>
    <s v="Michael Watkins"/>
    <x v="35"/>
    <x v="1"/>
    <d v="2025-07-06T00:00:00"/>
    <d v="2025-03-05T00:00:00"/>
    <x v="519"/>
    <x v="3"/>
    <n v="416.34"/>
    <x v="0"/>
    <x v="1"/>
    <x v="5"/>
    <n v="123"/>
  </r>
  <r>
    <n v="1043"/>
    <s v="Daniel Garrett"/>
    <x v="48"/>
    <x v="1"/>
    <d v="2026-01-28T00:00:00"/>
    <d v="2025-06-01T00:00:00"/>
    <x v="520"/>
    <x v="2"/>
    <n v="564.59"/>
    <x v="1"/>
    <x v="0"/>
    <x v="5"/>
    <n v="241"/>
  </r>
  <r>
    <n v="1072"/>
    <s v="Ronald Gonzalez"/>
    <x v="39"/>
    <x v="0"/>
    <d v="2026-01-25T00:00:00"/>
    <d v="2025-10-01T00:00:00"/>
    <x v="521"/>
    <x v="3"/>
    <n v="2.4500000000000002"/>
    <x v="0"/>
    <x v="0"/>
    <x v="3"/>
    <n v="116"/>
  </r>
  <r>
    <n v="1055"/>
    <s v="Charles Green"/>
    <x v="56"/>
    <x v="0"/>
    <d v="2025-04-28T00:00:00"/>
    <d v="2024-03-30T00:00:00"/>
    <x v="522"/>
    <x v="2"/>
    <n v="391.43"/>
    <x v="1"/>
    <x v="1"/>
    <x v="0"/>
    <n v="394"/>
  </r>
  <r>
    <n v="1098"/>
    <s v="Allison Ramos"/>
    <x v="68"/>
    <x v="0"/>
    <d v="2025-12-28T00:00:00"/>
    <d v="2024-12-16T00:00:00"/>
    <x v="523"/>
    <x v="2"/>
    <n v="482.2"/>
    <x v="0"/>
    <x v="1"/>
    <x v="0"/>
    <n v="377"/>
  </r>
  <r>
    <n v="1072"/>
    <s v="Christopher Brown"/>
    <x v="37"/>
    <x v="0"/>
    <d v="2025-03-26T00:00:00"/>
    <d v="2025-01-02T00:00:00"/>
    <x v="524"/>
    <x v="0"/>
    <n v="1.01"/>
    <x v="1"/>
    <x v="1"/>
    <x v="2"/>
    <n v="83"/>
  </r>
  <r>
    <n v="1070"/>
    <s v="Barbara Holland"/>
    <x v="54"/>
    <x v="1"/>
    <d v="2026-01-30T00:00:00"/>
    <d v="2024-12-16T00:00:00"/>
    <x v="525"/>
    <x v="3"/>
    <n v="492.31"/>
    <x v="1"/>
    <x v="0"/>
    <x v="3"/>
    <n v="410"/>
  </r>
  <r>
    <n v="1061"/>
    <s v="Matthew Herrera"/>
    <x v="70"/>
    <x v="0"/>
    <d v="2025-09-01T00:00:00"/>
    <d v="2025-05-26T00:00:00"/>
    <x v="526"/>
    <x v="3"/>
    <n v="5.21"/>
    <x v="0"/>
    <x v="1"/>
    <x v="0"/>
    <n v="98"/>
  </r>
  <r>
    <n v="1059"/>
    <s v="Valerie Vaughn"/>
    <x v="35"/>
    <x v="1"/>
    <d v="2025-11-11T00:00:00"/>
    <d v="2024-07-18T00:00:00"/>
    <x v="527"/>
    <x v="1"/>
    <s v=""/>
    <x v="1"/>
    <x v="1"/>
    <x v="5"/>
    <n v="481"/>
  </r>
  <r>
    <n v="1091"/>
    <s v="Tiffany Miller"/>
    <x v="49"/>
    <x v="1"/>
    <d v="2025-03-29T00:00:00"/>
    <d v="2025-03-07T00:00:00"/>
    <x v="528"/>
    <x v="0"/>
    <n v="169.14"/>
    <x v="1"/>
    <x v="1"/>
    <x v="6"/>
    <n v="22"/>
  </r>
  <r>
    <n v="1003"/>
    <s v="Cassandra Cain"/>
    <x v="38"/>
    <x v="0"/>
    <d v="2026-01-24T00:00:00"/>
    <d v="2025-02-08T00:00:00"/>
    <x v="529"/>
    <x v="0"/>
    <n v="0.88"/>
    <x v="1"/>
    <x v="0"/>
    <x v="1"/>
    <n v="350"/>
  </r>
  <r>
    <n v="1087"/>
    <s v="Glen Arroyo"/>
    <x v="11"/>
    <x v="0"/>
    <d v="2025-09-12T00:00:00"/>
    <d v="2024-06-03T00:00:00"/>
    <x v="530"/>
    <x v="2"/>
    <n v="222.52"/>
    <x v="0"/>
    <x v="1"/>
    <x v="1"/>
    <n v="466"/>
  </r>
  <r>
    <n v="1049"/>
    <s v="Kimberly Hill"/>
    <x v="31"/>
    <x v="2"/>
    <d v="2025-05-10T00:00:00"/>
    <d v="2024-08-26T00:00:00"/>
    <x v="531"/>
    <x v="2"/>
    <n v="2.14"/>
    <x v="1"/>
    <x v="1"/>
    <x v="5"/>
    <n v="257"/>
  </r>
  <r>
    <n v="1056"/>
    <s v="Erik Martinez"/>
    <x v="54"/>
    <x v="1"/>
    <d v="2025-10-28T00:00:00"/>
    <d v="2025-01-15T00:00:00"/>
    <x v="532"/>
    <x v="0"/>
    <n v="97.67"/>
    <x v="0"/>
    <x v="1"/>
    <x v="3"/>
    <n v="286"/>
  </r>
  <r>
    <n v="1057"/>
    <s v="Michael Bradley"/>
    <x v="23"/>
    <x v="0"/>
    <d v="2025-06-11T00:00:00"/>
    <d v="2024-09-28T00:00:00"/>
    <x v="533"/>
    <x v="1"/>
    <n v="339.03"/>
    <x v="1"/>
    <x v="1"/>
    <x v="6"/>
    <n v="256"/>
  </r>
  <r>
    <n v="1054"/>
    <s v="Rebecca Carey DDS"/>
    <x v="7"/>
    <x v="1"/>
    <d v="2025-10-09T00:00:00"/>
    <d v="2025-03-17T00:00:00"/>
    <x v="534"/>
    <x v="2"/>
    <n v="169.09"/>
    <x v="1"/>
    <x v="1"/>
    <x v="4"/>
    <n v="206"/>
  </r>
  <r>
    <n v="1040"/>
    <s v="Tammy Nelson"/>
    <x v="22"/>
    <x v="1"/>
    <d v="2025-08-21T00:00:00"/>
    <d v="2024-04-15T00:00:00"/>
    <x v="535"/>
    <x v="0"/>
    <s v=""/>
    <x v="1"/>
    <x v="1"/>
    <x v="3"/>
    <n v="493"/>
  </r>
  <r>
    <n v="1059"/>
    <s v="Heidi Alvarez"/>
    <x v="19"/>
    <x v="1"/>
    <d v="2025-07-30T00:00:00"/>
    <d v="2025-06-30T00:00:00"/>
    <x v="536"/>
    <x v="3"/>
    <n v="1.04"/>
    <x v="0"/>
    <x v="1"/>
    <x v="6"/>
    <n v="30"/>
  </r>
  <r>
    <n v="1035"/>
    <s v="Robert Edwards"/>
    <x v="32"/>
    <x v="0"/>
    <d v="2025-10-09T00:00:00"/>
    <d v="2025-05-10T00:00:00"/>
    <x v="537"/>
    <x v="1"/>
    <n v="112.88"/>
    <x v="1"/>
    <x v="1"/>
    <x v="6"/>
    <n v="152"/>
  </r>
  <r>
    <n v="1086"/>
    <s v="Bryan Fritz"/>
    <x v="23"/>
    <x v="0"/>
    <d v="2025-08-03T00:00:00"/>
    <d v="2025-02-19T00:00:00"/>
    <x v="538"/>
    <x v="1"/>
    <n v="338.43"/>
    <x v="0"/>
    <x v="1"/>
    <x v="6"/>
    <n v="165"/>
  </r>
  <r>
    <n v="1050"/>
    <s v="Donald Reed"/>
    <x v="47"/>
    <x v="0"/>
    <d v="2025-05-06T00:00:00"/>
    <d v="2024-10-11T00:00:00"/>
    <x v="539"/>
    <x v="3"/>
    <n v="453.66"/>
    <x v="0"/>
    <x v="1"/>
    <x v="4"/>
    <n v="207"/>
  </r>
  <r>
    <n v="1024"/>
    <s v="Alejandra Perkins"/>
    <x v="14"/>
    <x v="2"/>
    <d v="2025-08-03T00:00:00"/>
    <d v="2025-04-11T00:00:00"/>
    <x v="540"/>
    <x v="1"/>
    <s v=""/>
    <x v="0"/>
    <x v="1"/>
    <x v="0"/>
    <n v="114"/>
  </r>
  <r>
    <n v="1046"/>
    <s v="Jonathan Drake"/>
    <x v="0"/>
    <x v="1"/>
    <d v="2026-01-06T00:00:00"/>
    <d v="2025-03-16T00:00:00"/>
    <x v="541"/>
    <x v="0"/>
    <n v="437.41"/>
    <x v="0"/>
    <x v="0"/>
    <x v="0"/>
    <n v="296"/>
  </r>
  <r>
    <n v="1051"/>
    <s v="Sandra Wood"/>
    <x v="16"/>
    <x v="1"/>
    <d v="2026-02-03T00:00:00"/>
    <d v="2025-09-29T00:00:00"/>
    <x v="542"/>
    <x v="2"/>
    <n v="69.069999999999993"/>
    <x v="1"/>
    <x v="0"/>
    <x v="6"/>
    <n v="127"/>
  </r>
  <r>
    <n v="1014"/>
    <s v="Alexis Moody"/>
    <x v="16"/>
    <x v="0"/>
    <d v="2025-05-29T00:00:00"/>
    <d v="2024-06-11T00:00:00"/>
    <x v="543"/>
    <x v="1"/>
    <n v="2.2200000000000002"/>
    <x v="0"/>
    <x v="1"/>
    <x v="6"/>
    <n v="352"/>
  </r>
  <r>
    <n v="1059"/>
    <s v="Carol Williams"/>
    <x v="68"/>
    <x v="0"/>
    <d v="2025-04-15T00:00:00"/>
    <d v="2024-06-01T00:00:00"/>
    <x v="544"/>
    <x v="0"/>
    <n v="129.1"/>
    <x v="0"/>
    <x v="1"/>
    <x v="0"/>
    <n v="318"/>
  </r>
  <r>
    <n v="1040"/>
    <s v="Kimberly Adkins"/>
    <x v="60"/>
    <x v="1"/>
    <d v="2025-12-15T00:00:00"/>
    <d v="2024-08-19T00:00:00"/>
    <x v="545"/>
    <x v="0"/>
    <s v=""/>
    <x v="1"/>
    <x v="1"/>
    <x v="0"/>
    <n v="483"/>
  </r>
  <r>
    <n v="1092"/>
    <s v="Tracie Jefferson"/>
    <x v="70"/>
    <x v="0"/>
    <d v="2025-07-24T00:00:00"/>
    <d v="2025-04-24T00:00:00"/>
    <x v="546"/>
    <x v="3"/>
    <n v="153.53"/>
    <x v="0"/>
    <x v="1"/>
    <x v="0"/>
    <n v="91"/>
  </r>
  <r>
    <n v="1010"/>
    <s v="Aaron Young"/>
    <x v="47"/>
    <x v="1"/>
    <d v="2026-01-26T00:00:00"/>
    <d v="2024-05-09T00:00:00"/>
    <x v="547"/>
    <x v="0"/>
    <n v="2.4500000000000002"/>
    <x v="0"/>
    <x v="0"/>
    <x v="4"/>
    <n v="627"/>
  </r>
  <r>
    <n v="1032"/>
    <s v="Terry Dennis"/>
    <x v="50"/>
    <x v="1"/>
    <d v="2025-07-14T00:00:00"/>
    <d v="2024-08-16T00:00:00"/>
    <x v="548"/>
    <x v="2"/>
    <n v="4.4400000000000004"/>
    <x v="0"/>
    <x v="1"/>
    <x v="3"/>
    <n v="332"/>
  </r>
  <r>
    <n v="1020"/>
    <s v="Michael Newman MD"/>
    <x v="4"/>
    <x v="0"/>
    <d v="2025-11-29T00:00:00"/>
    <d v="2025-08-31T00:00:00"/>
    <x v="549"/>
    <x v="3"/>
    <n v="343.21"/>
    <x v="1"/>
    <x v="1"/>
    <x v="2"/>
    <n v="90"/>
  </r>
  <r>
    <n v="1020"/>
    <s v="Kristin Terry"/>
    <x v="34"/>
    <x v="1"/>
    <d v="2025-08-18T00:00:00"/>
    <d v="2025-05-17T00:00:00"/>
    <x v="550"/>
    <x v="2"/>
    <n v="90.4"/>
    <x v="0"/>
    <x v="1"/>
    <x v="2"/>
    <n v="93"/>
  </r>
  <r>
    <n v="1017"/>
    <s v="Nicole Green"/>
    <x v="33"/>
    <x v="1"/>
    <d v="2025-07-18T00:00:00"/>
    <d v="2024-07-06T00:00:00"/>
    <x v="551"/>
    <x v="3"/>
    <n v="4.0199999999999996"/>
    <x v="1"/>
    <x v="1"/>
    <x v="4"/>
    <n v="377"/>
  </r>
  <r>
    <n v="1007"/>
    <s v="Tina Cook"/>
    <x v="62"/>
    <x v="0"/>
    <d v="2025-12-05T00:00:00"/>
    <d v="2024-09-28T00:00:00"/>
    <x v="552"/>
    <x v="2"/>
    <n v="358.47"/>
    <x v="0"/>
    <x v="1"/>
    <x v="3"/>
    <n v="433"/>
  </r>
  <r>
    <n v="1084"/>
    <s v="Robin Donovan"/>
    <x v="1"/>
    <x v="1"/>
    <d v="2025-03-27T00:00:00"/>
    <d v="2024-08-04T00:00:00"/>
    <x v="553"/>
    <x v="3"/>
    <n v="163.58000000000001"/>
    <x v="1"/>
    <x v="1"/>
    <x v="1"/>
    <n v="235"/>
  </r>
  <r>
    <n v="1005"/>
    <s v="Bryan Meyers"/>
    <x v="32"/>
    <x v="0"/>
    <d v="2026-01-05T00:00:00"/>
    <d v="2025-07-11T00:00:00"/>
    <x v="554"/>
    <x v="0"/>
    <n v="5.49"/>
    <x v="1"/>
    <x v="0"/>
    <x v="6"/>
    <n v="178"/>
  </r>
  <r>
    <n v="1011"/>
    <s v="Deanna Manning"/>
    <x v="34"/>
    <x v="0"/>
    <d v="2025-11-14T00:00:00"/>
    <d v="2025-09-14T00:00:00"/>
    <x v="555"/>
    <x v="0"/>
    <n v="1.1200000000000001"/>
    <x v="1"/>
    <x v="1"/>
    <x v="2"/>
    <n v="61"/>
  </r>
  <r>
    <n v="1085"/>
    <s v="Linda Miller"/>
    <x v="50"/>
    <x v="0"/>
    <d v="2026-03-08T00:00:00"/>
    <d v="2024-12-08T00:00:00"/>
    <x v="556"/>
    <x v="1"/>
    <s v=""/>
    <x v="1"/>
    <x v="0"/>
    <x v="3"/>
    <n v="455"/>
  </r>
  <r>
    <n v="1005"/>
    <s v="Kathryn Bell"/>
    <x v="54"/>
    <x v="0"/>
    <d v="2025-06-13T00:00:00"/>
    <d v="2024-06-06T00:00:00"/>
    <x v="557"/>
    <x v="0"/>
    <n v="588.82000000000005"/>
    <x v="1"/>
    <x v="1"/>
    <x v="3"/>
    <n v="372"/>
  </r>
  <r>
    <n v="1079"/>
    <s v="Patrick Ewing"/>
    <x v="61"/>
    <x v="1"/>
    <d v="2025-11-16T00:00:00"/>
    <d v="2025-03-24T00:00:00"/>
    <x v="558"/>
    <x v="0"/>
    <n v="299.10000000000002"/>
    <x v="1"/>
    <x v="1"/>
    <x v="4"/>
    <n v="237"/>
  </r>
  <r>
    <n v="1090"/>
    <s v="Steven Henderson"/>
    <x v="55"/>
    <x v="1"/>
    <d v="2026-02-15T00:00:00"/>
    <d v="2025-04-27T00:00:00"/>
    <x v="559"/>
    <x v="1"/>
    <n v="1.8"/>
    <x v="0"/>
    <x v="0"/>
    <x v="4"/>
    <n v="294"/>
  </r>
  <r>
    <n v="1068"/>
    <s v="Michael Marquez"/>
    <x v="65"/>
    <x v="1"/>
    <d v="2025-07-28T00:00:00"/>
    <d v="2024-07-19T00:00:00"/>
    <x v="560"/>
    <x v="0"/>
    <n v="227.34"/>
    <x v="1"/>
    <x v="1"/>
    <x v="4"/>
    <n v="374"/>
  </r>
  <r>
    <n v="1047"/>
    <s v="Brittany Thompson"/>
    <x v="52"/>
    <x v="0"/>
    <d v="2025-04-05T00:00:00"/>
    <d v="2024-05-08T00:00:00"/>
    <x v="561"/>
    <x v="0"/>
    <n v="2.83"/>
    <x v="1"/>
    <x v="1"/>
    <x v="5"/>
    <n v="332"/>
  </r>
  <r>
    <n v="1009"/>
    <s v="Tracy Perez"/>
    <x v="70"/>
    <x v="1"/>
    <d v="2026-03-19T00:00:00"/>
    <d v="2025-11-26T00:00:00"/>
    <x v="562"/>
    <x v="0"/>
    <n v="522.89"/>
    <x v="1"/>
    <x v="0"/>
    <x v="0"/>
    <n v="113"/>
  </r>
  <r>
    <n v="1084"/>
    <s v="Morgan Torres"/>
    <x v="58"/>
    <x v="1"/>
    <d v="2026-02-02T00:00:00"/>
    <d v="2025-07-29T00:00:00"/>
    <x v="563"/>
    <x v="3"/>
    <s v=""/>
    <x v="1"/>
    <x v="0"/>
    <x v="6"/>
    <n v="188"/>
  </r>
  <r>
    <n v="1016"/>
    <s v="Jessica Price"/>
    <x v="52"/>
    <x v="1"/>
    <d v="2025-10-27T00:00:00"/>
    <d v="2025-03-12T00:00:00"/>
    <x v="564"/>
    <x v="1"/>
    <n v="549.66999999999996"/>
    <x v="0"/>
    <x v="1"/>
    <x v="5"/>
    <n v="229"/>
  </r>
  <r>
    <n v="1068"/>
    <s v="Kayla Williams"/>
    <x v="41"/>
    <x v="1"/>
    <d v="2025-10-02T00:00:00"/>
    <d v="2024-06-06T00:00:00"/>
    <x v="565"/>
    <x v="3"/>
    <n v="2.4"/>
    <x v="1"/>
    <x v="1"/>
    <x v="1"/>
    <n v="483"/>
  </r>
  <r>
    <n v="1048"/>
    <s v="Victoria Young"/>
    <x v="3"/>
    <x v="0"/>
    <d v="2025-08-06T00:00:00"/>
    <d v="2025-07-21T00:00:00"/>
    <x v="566"/>
    <x v="2"/>
    <n v="174.04"/>
    <x v="0"/>
    <x v="1"/>
    <x v="2"/>
    <n v="16"/>
  </r>
  <r>
    <n v="1080"/>
    <s v="Roger Hatfield"/>
    <x v="61"/>
    <x v="1"/>
    <d v="2025-08-12T00:00:00"/>
    <d v="2025-01-22T00:00:00"/>
    <x v="567"/>
    <x v="1"/>
    <n v="219.76"/>
    <x v="1"/>
    <x v="1"/>
    <x v="4"/>
    <n v="202"/>
  </r>
  <r>
    <n v="1030"/>
    <s v="Robert Lewis"/>
    <x v="15"/>
    <x v="0"/>
    <d v="2025-10-23T00:00:00"/>
    <d v="2024-05-25T00:00:00"/>
    <x v="568"/>
    <x v="0"/>
    <n v="5.39"/>
    <x v="0"/>
    <x v="1"/>
    <x v="1"/>
    <n v="516"/>
  </r>
  <r>
    <n v="1003"/>
    <s v="Jeremiah Perez"/>
    <x v="42"/>
    <x v="1"/>
    <d v="2025-07-25T00:00:00"/>
    <d v="2025-01-14T00:00:00"/>
    <x v="569"/>
    <x v="1"/>
    <n v="91.94"/>
    <x v="1"/>
    <x v="1"/>
    <x v="2"/>
    <n v="192"/>
  </r>
  <r>
    <n v="1047"/>
    <s v="Haley Mcintosh"/>
    <x v="70"/>
    <x v="0"/>
    <d v="2025-10-19T00:00:00"/>
    <d v="2024-08-07T00:00:00"/>
    <x v="570"/>
    <x v="1"/>
    <n v="543"/>
    <x v="0"/>
    <x v="1"/>
    <x v="0"/>
    <n v="438"/>
  </r>
  <r>
    <n v="1075"/>
    <s v="Kathy Rhodes"/>
    <x v="14"/>
    <x v="1"/>
    <d v="2025-06-16T00:00:00"/>
    <d v="2024-08-23T00:00:00"/>
    <x v="571"/>
    <x v="2"/>
    <n v="175.26"/>
    <x v="0"/>
    <x v="1"/>
    <x v="0"/>
    <n v="297"/>
  </r>
  <r>
    <n v="1072"/>
    <s v="Louis Craig"/>
    <x v="37"/>
    <x v="0"/>
    <d v="2025-04-13T00:00:00"/>
    <d v="2024-10-05T00:00:00"/>
    <x v="572"/>
    <x v="1"/>
    <n v="5.33"/>
    <x v="1"/>
    <x v="1"/>
    <x v="2"/>
    <n v="190"/>
  </r>
  <r>
    <n v="1001"/>
    <s v="Jenny Black"/>
    <x v="66"/>
    <x v="0"/>
    <d v="2025-11-14T00:00:00"/>
    <d v="2025-09-06T00:00:00"/>
    <x v="573"/>
    <x v="2"/>
    <n v="381.93"/>
    <x v="1"/>
    <x v="1"/>
    <x v="5"/>
    <n v="69"/>
  </r>
  <r>
    <n v="1009"/>
    <s v="Sarah Davis"/>
    <x v="10"/>
    <x v="1"/>
    <d v="2026-01-01T00:00:00"/>
    <d v="2025-08-14T00:00:00"/>
    <x v="574"/>
    <x v="3"/>
    <n v="4.43"/>
    <x v="1"/>
    <x v="0"/>
    <x v="1"/>
    <n v="140"/>
  </r>
  <r>
    <n v="1016"/>
    <s v="Heidi Sosa"/>
    <x v="36"/>
    <x v="1"/>
    <d v="2025-11-10T00:00:00"/>
    <d v="2025-05-17T00:00:00"/>
    <x v="575"/>
    <x v="0"/>
    <n v="2.66"/>
    <x v="0"/>
    <x v="1"/>
    <x v="3"/>
    <n v="177"/>
  </r>
  <r>
    <n v="1092"/>
    <s v="Dalton Rodriguez"/>
    <x v="8"/>
    <x v="1"/>
    <d v="2025-08-01T00:00:00"/>
    <d v="2024-05-07T00:00:00"/>
    <x v="576"/>
    <x v="3"/>
    <n v="5.14"/>
    <x v="0"/>
    <x v="1"/>
    <x v="4"/>
    <n v="451"/>
  </r>
  <r>
    <n v="1001"/>
    <s v="Jacqueline West"/>
    <x v="11"/>
    <x v="1"/>
    <d v="2026-01-19T00:00:00"/>
    <d v="2025-01-17T00:00:00"/>
    <x v="577"/>
    <x v="3"/>
    <n v="197.82"/>
    <x v="0"/>
    <x v="0"/>
    <x v="1"/>
    <n v="367"/>
  </r>
  <r>
    <n v="1063"/>
    <s v="Sherri Barry"/>
    <x v="42"/>
    <x v="1"/>
    <d v="2025-08-29T00:00:00"/>
    <d v="2024-04-15T00:00:00"/>
    <x v="578"/>
    <x v="2"/>
    <n v="145.93"/>
    <x v="1"/>
    <x v="1"/>
    <x v="2"/>
    <n v="501"/>
  </r>
  <r>
    <n v="1061"/>
    <s v="Lydia Russell"/>
    <x v="27"/>
    <x v="1"/>
    <d v="2025-11-16T00:00:00"/>
    <d v="2024-12-31T00:00:00"/>
    <x v="579"/>
    <x v="3"/>
    <n v="635.11"/>
    <x v="0"/>
    <x v="1"/>
    <x v="1"/>
    <n v="320"/>
  </r>
  <r>
    <n v="1036"/>
    <s v="Alexander Hammond"/>
    <x v="71"/>
    <x v="1"/>
    <d v="2025-06-29T00:00:00"/>
    <d v="2024-09-21T00:00:00"/>
    <x v="580"/>
    <x v="0"/>
    <n v="321.12"/>
    <x v="1"/>
    <x v="1"/>
    <x v="2"/>
    <n v="281"/>
  </r>
  <r>
    <n v="1015"/>
    <s v="Nichole Anderson"/>
    <x v="43"/>
    <x v="2"/>
    <d v="2025-05-10T00:00:00"/>
    <d v="2025-02-06T00:00:00"/>
    <x v="581"/>
    <x v="0"/>
    <n v="421.46"/>
    <x v="0"/>
    <x v="1"/>
    <x v="6"/>
    <n v="93"/>
  </r>
  <r>
    <n v="1069"/>
    <s v="Jacqueline Peters"/>
    <x v="51"/>
    <x v="0"/>
    <d v="2025-12-09T00:00:00"/>
    <d v="2025-10-11T00:00:00"/>
    <x v="582"/>
    <x v="3"/>
    <n v="298.75"/>
    <x v="0"/>
    <x v="1"/>
    <x v="5"/>
    <n v="59"/>
  </r>
  <r>
    <n v="1029"/>
    <s v="Kelly Hodge"/>
    <x v="33"/>
    <x v="1"/>
    <d v="2025-10-15T00:00:00"/>
    <d v="2025-05-28T00:00:00"/>
    <x v="583"/>
    <x v="1"/>
    <n v="232.87"/>
    <x v="1"/>
    <x v="1"/>
    <x v="4"/>
    <n v="140"/>
  </r>
  <r>
    <n v="1037"/>
    <s v="Brandi Boyd"/>
    <x v="17"/>
    <x v="1"/>
    <d v="2025-12-08T00:00:00"/>
    <d v="2024-08-06T00:00:00"/>
    <x v="584"/>
    <x v="0"/>
    <n v="1.06"/>
    <x v="1"/>
    <x v="1"/>
    <x v="6"/>
    <n v="489"/>
  </r>
  <r>
    <n v="1071"/>
    <s v="David Jones"/>
    <x v="62"/>
    <x v="0"/>
    <d v="2026-02-24T00:00:00"/>
    <d v="2025-11-21T00:00:00"/>
    <x v="585"/>
    <x v="3"/>
    <n v="4.87"/>
    <x v="1"/>
    <x v="0"/>
    <x v="3"/>
    <n v="95"/>
  </r>
  <r>
    <n v="1023"/>
    <s v="Zachary Lewis"/>
    <x v="28"/>
    <x v="0"/>
    <d v="2026-02-07T00:00:00"/>
    <d v="2024-12-19T00:00:00"/>
    <x v="586"/>
    <x v="2"/>
    <n v="351.94"/>
    <x v="0"/>
    <x v="0"/>
    <x v="2"/>
    <n v="415"/>
  </r>
  <r>
    <n v="1074"/>
    <s v="Andrea Anderson"/>
    <x v="68"/>
    <x v="1"/>
    <d v="2025-08-15T00:00:00"/>
    <d v="2024-06-16T00:00:00"/>
    <x v="587"/>
    <x v="2"/>
    <n v="59.55"/>
    <x v="0"/>
    <x v="1"/>
    <x v="0"/>
    <n v="425"/>
  </r>
  <r>
    <n v="1039"/>
    <s v="Shawn Castillo"/>
    <x v="9"/>
    <x v="1"/>
    <d v="2025-05-02T00:00:00"/>
    <d v="2025-02-15T00:00:00"/>
    <x v="532"/>
    <x v="1"/>
    <n v="451.63"/>
    <x v="1"/>
    <x v="1"/>
    <x v="1"/>
    <n v="76"/>
  </r>
  <r>
    <n v="1071"/>
    <s v="Jerry Holmes"/>
    <x v="19"/>
    <x v="1"/>
    <d v="2025-12-05T00:00:00"/>
    <d v="2024-08-02T00:00:00"/>
    <x v="588"/>
    <x v="2"/>
    <n v="3.79"/>
    <x v="0"/>
    <x v="1"/>
    <x v="6"/>
    <n v="490"/>
  </r>
  <r>
    <n v="1039"/>
    <s v="Kimberly Diaz"/>
    <x v="3"/>
    <x v="0"/>
    <d v="2025-06-19T00:00:00"/>
    <d v="2024-05-07T00:00:00"/>
    <x v="589"/>
    <x v="1"/>
    <n v="197.72"/>
    <x v="0"/>
    <x v="1"/>
    <x v="2"/>
    <n v="408"/>
  </r>
  <r>
    <n v="1082"/>
    <s v="Katherine Olson"/>
    <x v="7"/>
    <x v="0"/>
    <d v="2025-11-04T00:00:00"/>
    <d v="2025-03-21T00:00:00"/>
    <x v="590"/>
    <x v="0"/>
    <n v="269.56"/>
    <x v="1"/>
    <x v="1"/>
    <x v="4"/>
    <n v="228"/>
  </r>
  <r>
    <n v="1084"/>
    <s v="Nathaniel White"/>
    <x v="67"/>
    <x v="1"/>
    <d v="2025-04-20T00:00:00"/>
    <d v="2024-07-31T00:00:00"/>
    <x v="591"/>
    <x v="0"/>
    <n v="95.4"/>
    <x v="1"/>
    <x v="1"/>
    <x v="0"/>
    <n v="263"/>
  </r>
  <r>
    <n v="1089"/>
    <s v="Robert Garcia"/>
    <x v="9"/>
    <x v="0"/>
    <d v="2025-04-03T00:00:00"/>
    <d v="2024-08-06T00:00:00"/>
    <x v="592"/>
    <x v="1"/>
    <n v="275.33999999999997"/>
    <x v="1"/>
    <x v="1"/>
    <x v="1"/>
    <n v="240"/>
  </r>
  <r>
    <n v="1031"/>
    <s v="John Gonzalez"/>
    <x v="64"/>
    <x v="1"/>
    <d v="2026-01-19T00:00:00"/>
    <d v="2024-06-14T00:00:00"/>
    <x v="593"/>
    <x v="1"/>
    <n v="318.82"/>
    <x v="1"/>
    <x v="0"/>
    <x v="2"/>
    <n v="584"/>
  </r>
  <r>
    <n v="1053"/>
    <s v="Peter Pierce"/>
    <x v="11"/>
    <x v="1"/>
    <d v="2025-12-21T00:00:00"/>
    <d v="2025-08-07T00:00:00"/>
    <x v="594"/>
    <x v="2"/>
    <n v="4.28"/>
    <x v="1"/>
    <x v="1"/>
    <x v="1"/>
    <n v="136"/>
  </r>
  <r>
    <n v="1048"/>
    <s v="Elizabeth Russo"/>
    <x v="27"/>
    <x v="1"/>
    <d v="2025-07-03T00:00:00"/>
    <d v="2024-07-30T00:00:00"/>
    <x v="595"/>
    <x v="2"/>
    <s v=""/>
    <x v="0"/>
    <x v="1"/>
    <x v="1"/>
    <n v="338"/>
  </r>
  <r>
    <n v="1075"/>
    <s v="Jacqueline Collins"/>
    <x v="27"/>
    <x v="0"/>
    <d v="2025-06-12T00:00:00"/>
    <d v="2025-05-18T00:00:00"/>
    <x v="596"/>
    <x v="2"/>
    <n v="161.5"/>
    <x v="1"/>
    <x v="1"/>
    <x v="1"/>
    <n v="25"/>
  </r>
  <r>
    <n v="1033"/>
    <s v="Mckenzie Mccarty"/>
    <x v="48"/>
    <x v="0"/>
    <d v="2025-05-19T00:00:00"/>
    <d v="2024-07-20T00:00:00"/>
    <x v="597"/>
    <x v="1"/>
    <n v="90.92"/>
    <x v="1"/>
    <x v="1"/>
    <x v="5"/>
    <n v="303"/>
  </r>
  <r>
    <n v="1054"/>
    <s v="Samuel Thomas"/>
    <x v="26"/>
    <x v="1"/>
    <d v="2025-06-16T00:00:00"/>
    <d v="2024-04-01T00:00:00"/>
    <x v="598"/>
    <x v="3"/>
    <n v="441.76"/>
    <x v="0"/>
    <x v="1"/>
    <x v="6"/>
    <n v="441"/>
  </r>
  <r>
    <n v="1020"/>
    <s v="Robert Williams"/>
    <x v="55"/>
    <x v="1"/>
    <d v="2025-07-24T00:00:00"/>
    <d v="2025-02-03T00:00:00"/>
    <x v="599"/>
    <x v="2"/>
    <n v="391.21"/>
    <x v="0"/>
    <x v="1"/>
    <x v="4"/>
    <n v="171"/>
  </r>
  <r>
    <n v="1006"/>
    <s v="Brent Thompson"/>
    <x v="66"/>
    <x v="0"/>
    <d v="2025-05-03T00:00:00"/>
    <d v="2024-11-23T00:00:00"/>
    <x v="600"/>
    <x v="1"/>
    <n v="226.84"/>
    <x v="1"/>
    <x v="1"/>
    <x v="5"/>
    <n v="161"/>
  </r>
  <r>
    <n v="1100"/>
    <s v="Ms. Kristen Johnson"/>
    <x v="47"/>
    <x v="1"/>
    <d v="2026-02-15T00:00:00"/>
    <d v="2024-04-14T00:00:00"/>
    <x v="601"/>
    <x v="2"/>
    <n v="5.01"/>
    <x v="0"/>
    <x v="0"/>
    <x v="4"/>
    <n v="672"/>
  </r>
  <r>
    <n v="1061"/>
    <s v="Darlene Clark"/>
    <x v="53"/>
    <x v="1"/>
    <d v="2025-11-09T00:00:00"/>
    <d v="2024-11-16T00:00:00"/>
    <x v="602"/>
    <x v="2"/>
    <n v="503.51"/>
    <x v="1"/>
    <x v="1"/>
    <x v="1"/>
    <n v="358"/>
  </r>
  <r>
    <n v="1040"/>
    <s v="Jessica Williams"/>
    <x v="37"/>
    <x v="0"/>
    <d v="2025-06-21T00:00:00"/>
    <d v="2024-10-08T00:00:00"/>
    <x v="603"/>
    <x v="3"/>
    <n v="146.88999999999999"/>
    <x v="1"/>
    <x v="1"/>
    <x v="2"/>
    <n v="256"/>
  </r>
  <r>
    <n v="1010"/>
    <s v="Lauren Burns"/>
    <x v="13"/>
    <x v="0"/>
    <d v="2025-04-12T00:00:00"/>
    <d v="2024-09-13T00:00:00"/>
    <x v="604"/>
    <x v="0"/>
    <n v="364.58"/>
    <x v="1"/>
    <x v="1"/>
    <x v="3"/>
    <n v="211"/>
  </r>
  <r>
    <n v="1030"/>
    <s v="Jesse Wood"/>
    <x v="1"/>
    <x v="1"/>
    <d v="2026-01-02T00:00:00"/>
    <d v="2024-09-23T00:00:00"/>
    <x v="605"/>
    <x v="2"/>
    <n v="2.4700000000000002"/>
    <x v="0"/>
    <x v="0"/>
    <x v="1"/>
    <n v="466"/>
  </r>
  <r>
    <n v="1093"/>
    <s v="James Price"/>
    <x v="14"/>
    <x v="1"/>
    <d v="2025-06-20T00:00:00"/>
    <d v="2024-09-18T00:00:00"/>
    <x v="606"/>
    <x v="3"/>
    <n v="194.55"/>
    <x v="0"/>
    <x v="1"/>
    <x v="0"/>
    <n v="275"/>
  </r>
  <r>
    <n v="1008"/>
    <s v="Darryl Murphy"/>
    <x v="26"/>
    <x v="1"/>
    <d v="2026-03-03T00:00:00"/>
    <d v="2024-11-03T00:00:00"/>
    <x v="607"/>
    <x v="0"/>
    <n v="232.1"/>
    <x v="1"/>
    <x v="0"/>
    <x v="6"/>
    <n v="485"/>
  </r>
  <r>
    <n v="1087"/>
    <s v="Maria Boyd"/>
    <x v="1"/>
    <x v="0"/>
    <d v="2025-10-02T00:00:00"/>
    <d v="2025-02-23T00:00:00"/>
    <x v="608"/>
    <x v="0"/>
    <n v="520.76"/>
    <x v="0"/>
    <x v="1"/>
    <x v="1"/>
    <n v="221"/>
  </r>
  <r>
    <n v="1008"/>
    <s v="Jacqueline Howell"/>
    <x v="39"/>
    <x v="1"/>
    <d v="2026-02-21T00:00:00"/>
    <d v="2025-05-23T00:00:00"/>
    <x v="609"/>
    <x v="0"/>
    <n v="421.13"/>
    <x v="0"/>
    <x v="0"/>
    <x v="3"/>
    <n v="274"/>
  </r>
  <r>
    <n v="1090"/>
    <s v="Tracy Smith"/>
    <x v="39"/>
    <x v="0"/>
    <d v="2025-05-24T00:00:00"/>
    <d v="2024-07-05T00:00:00"/>
    <x v="610"/>
    <x v="2"/>
    <n v="1.53"/>
    <x v="0"/>
    <x v="1"/>
    <x v="3"/>
    <n v="323"/>
  </r>
  <r>
    <n v="1047"/>
    <s v="Victoria Perry"/>
    <x v="45"/>
    <x v="1"/>
    <d v="2026-03-26T00:00:00"/>
    <d v="2025-08-24T00:00:00"/>
    <x v="611"/>
    <x v="2"/>
    <n v="500.9"/>
    <x v="1"/>
    <x v="0"/>
    <x v="5"/>
    <n v="214"/>
  </r>
  <r>
    <n v="1077"/>
    <s v="Pamela Davis"/>
    <x v="5"/>
    <x v="0"/>
    <d v="2025-12-19T00:00:00"/>
    <d v="2025-09-15T00:00:00"/>
    <x v="612"/>
    <x v="1"/>
    <n v="358.83"/>
    <x v="0"/>
    <x v="1"/>
    <x v="0"/>
    <n v="95"/>
  </r>
  <r>
    <n v="1055"/>
    <s v="Stephanie Carr"/>
    <x v="11"/>
    <x v="0"/>
    <d v="2025-08-26T00:00:00"/>
    <d v="2024-12-19T00:00:00"/>
    <x v="613"/>
    <x v="1"/>
    <n v="212.66"/>
    <x v="1"/>
    <x v="1"/>
    <x v="1"/>
    <n v="250"/>
  </r>
  <r>
    <n v="1073"/>
    <s v="Carrie Davis"/>
    <x v="34"/>
    <x v="2"/>
    <d v="2026-01-19T00:00:00"/>
    <d v="2024-04-01T00:00:00"/>
    <x v="614"/>
    <x v="2"/>
    <n v="4.3"/>
    <x v="1"/>
    <x v="0"/>
    <x v="2"/>
    <n v="658"/>
  </r>
  <r>
    <n v="1016"/>
    <s v="Pamela Young"/>
    <x v="51"/>
    <x v="2"/>
    <d v="2025-05-30T00:00:00"/>
    <d v="2025-05-23T00:00:00"/>
    <x v="615"/>
    <x v="1"/>
    <n v="136.22999999999999"/>
    <x v="0"/>
    <x v="1"/>
    <x v="5"/>
    <n v="7"/>
  </r>
  <r>
    <n v="1018"/>
    <s v="Leonard Clark"/>
    <x v="18"/>
    <x v="0"/>
    <d v="2026-02-28T00:00:00"/>
    <d v="2025-02-08T00:00:00"/>
    <x v="616"/>
    <x v="0"/>
    <n v="0.76"/>
    <x v="0"/>
    <x v="0"/>
    <x v="4"/>
    <n v="385"/>
  </r>
  <r>
    <n v="1035"/>
    <s v="Michele Perry"/>
    <x v="17"/>
    <x v="0"/>
    <d v="2025-08-07T00:00:00"/>
    <d v="2024-12-23T00:00:00"/>
    <x v="617"/>
    <x v="2"/>
    <n v="88.94"/>
    <x v="1"/>
    <x v="1"/>
    <x v="6"/>
    <n v="227"/>
  </r>
  <r>
    <n v="1032"/>
    <s v="Ryan Tucker"/>
    <x v="72"/>
    <x v="1"/>
    <d v="2026-02-18T00:00:00"/>
    <d v="2024-11-03T00:00:00"/>
    <x v="618"/>
    <x v="1"/>
    <n v="2.4700000000000002"/>
    <x v="1"/>
    <x v="0"/>
    <x v="6"/>
    <n v="472"/>
  </r>
  <r>
    <n v="1024"/>
    <s v="Kelsey Rice"/>
    <x v="22"/>
    <x v="1"/>
    <d v="2025-11-16T00:00:00"/>
    <d v="2024-11-19T00:00:00"/>
    <x v="619"/>
    <x v="3"/>
    <n v="190.44"/>
    <x v="1"/>
    <x v="1"/>
    <x v="3"/>
    <n v="362"/>
  </r>
  <r>
    <n v="1044"/>
    <s v="Monique Daniels"/>
    <x v="62"/>
    <x v="0"/>
    <d v="2026-03-08T00:00:00"/>
    <d v="2025-11-11T00:00:00"/>
    <x v="620"/>
    <x v="3"/>
    <n v="316.64"/>
    <x v="0"/>
    <x v="0"/>
    <x v="3"/>
    <n v="117"/>
  </r>
  <r>
    <n v="1085"/>
    <s v="Joseph Mcmillan"/>
    <x v="27"/>
    <x v="0"/>
    <d v="2025-05-20T00:00:00"/>
    <d v="2025-03-20T00:00:00"/>
    <x v="621"/>
    <x v="1"/>
    <n v="3.39"/>
    <x v="1"/>
    <x v="1"/>
    <x v="1"/>
    <n v="61"/>
  </r>
  <r>
    <n v="1089"/>
    <s v="Miss Christine Lopez"/>
    <x v="68"/>
    <x v="0"/>
    <d v="2025-11-30T00:00:00"/>
    <d v="2025-06-05T00:00:00"/>
    <x v="622"/>
    <x v="0"/>
    <n v="414.58"/>
    <x v="0"/>
    <x v="1"/>
    <x v="0"/>
    <n v="178"/>
  </r>
  <r>
    <n v="1064"/>
    <s v="Christy Nunez"/>
    <x v="8"/>
    <x v="1"/>
    <d v="2025-07-11T00:00:00"/>
    <d v="2024-06-25T00:00:00"/>
    <x v="623"/>
    <x v="0"/>
    <n v="378.83"/>
    <x v="0"/>
    <x v="1"/>
    <x v="4"/>
    <n v="381"/>
  </r>
  <r>
    <n v="1077"/>
    <s v="Jeff Lynch"/>
    <x v="7"/>
    <x v="0"/>
    <d v="2025-12-04T00:00:00"/>
    <d v="2024-10-12T00:00:00"/>
    <x v="624"/>
    <x v="2"/>
    <n v="59.75"/>
    <x v="1"/>
    <x v="1"/>
    <x v="4"/>
    <n v="418"/>
  </r>
  <r>
    <n v="1092"/>
    <s v="James Mendez"/>
    <x v="72"/>
    <x v="0"/>
    <d v="2025-07-02T00:00:00"/>
    <d v="2025-04-08T00:00:00"/>
    <x v="625"/>
    <x v="3"/>
    <n v="186.43"/>
    <x v="1"/>
    <x v="1"/>
    <x v="6"/>
    <n v="85"/>
  </r>
  <r>
    <n v="1084"/>
    <s v="Kelly Hess"/>
    <x v="24"/>
    <x v="0"/>
    <d v="2025-05-19T00:00:00"/>
    <d v="2024-11-07T00:00:00"/>
    <x v="626"/>
    <x v="3"/>
    <n v="2.96"/>
    <x v="1"/>
    <x v="1"/>
    <x v="2"/>
    <n v="193"/>
  </r>
  <r>
    <n v="1044"/>
    <s v="Sandra Wilson"/>
    <x v="2"/>
    <x v="0"/>
    <d v="2025-12-23T00:00:00"/>
    <d v="2025-02-19T00:00:00"/>
    <x v="627"/>
    <x v="3"/>
    <n v="360.64"/>
    <x v="0"/>
    <x v="1"/>
    <x v="0"/>
    <n v="307"/>
  </r>
  <r>
    <n v="1080"/>
    <s v="Jennifer Williams"/>
    <x v="56"/>
    <x v="1"/>
    <d v="2026-01-04T00:00:00"/>
    <d v="2025-10-18T00:00:00"/>
    <x v="628"/>
    <x v="3"/>
    <n v="498.84"/>
    <x v="1"/>
    <x v="0"/>
    <x v="0"/>
    <n v="78"/>
  </r>
  <r>
    <n v="1097"/>
    <s v="Kathryn Green"/>
    <x v="23"/>
    <x v="2"/>
    <d v="2025-05-01T00:00:00"/>
    <d v="2024-08-19T00:00:00"/>
    <x v="629"/>
    <x v="0"/>
    <n v="4.57"/>
    <x v="0"/>
    <x v="1"/>
    <x v="6"/>
    <n v="255"/>
  </r>
  <r>
    <n v="1035"/>
    <s v="Holly Potter"/>
    <x v="68"/>
    <x v="1"/>
    <d v="2025-11-21T00:00:00"/>
    <d v="2025-01-02T00:00:00"/>
    <x v="630"/>
    <x v="3"/>
    <n v="3.02"/>
    <x v="0"/>
    <x v="1"/>
    <x v="0"/>
    <n v="323"/>
  </r>
  <r>
    <n v="1069"/>
    <s v="Catherine Stein"/>
    <x v="13"/>
    <x v="0"/>
    <d v="2025-10-14T00:00:00"/>
    <d v="2025-02-08T00:00:00"/>
    <x v="631"/>
    <x v="2"/>
    <n v="489.76"/>
    <x v="0"/>
    <x v="1"/>
    <x v="3"/>
    <n v="248"/>
  </r>
  <r>
    <n v="1016"/>
    <s v="Wendy Andrews"/>
    <x v="28"/>
    <x v="1"/>
    <d v="2025-06-18T00:00:00"/>
    <d v="2024-10-19T00:00:00"/>
    <x v="632"/>
    <x v="1"/>
    <n v="3.88"/>
    <x v="0"/>
    <x v="1"/>
    <x v="2"/>
    <n v="242"/>
  </r>
  <r>
    <n v="1098"/>
    <s v="Richard Alexander"/>
    <x v="36"/>
    <x v="0"/>
    <d v="2025-11-09T00:00:00"/>
    <d v="2025-07-16T00:00:00"/>
    <x v="633"/>
    <x v="0"/>
    <n v="477.04"/>
    <x v="1"/>
    <x v="1"/>
    <x v="3"/>
    <n v="116"/>
  </r>
  <r>
    <n v="1012"/>
    <s v="Javier Hawkins"/>
    <x v="48"/>
    <x v="1"/>
    <d v="2026-02-01T00:00:00"/>
    <d v="2024-04-16T00:00:00"/>
    <x v="634"/>
    <x v="1"/>
    <n v="427.54"/>
    <x v="1"/>
    <x v="0"/>
    <x v="5"/>
    <n v="656"/>
  </r>
  <r>
    <n v="1100"/>
    <s v="Sonya Wheeler"/>
    <x v="47"/>
    <x v="0"/>
    <d v="2025-09-07T00:00:00"/>
    <d v="2024-04-13T00:00:00"/>
    <x v="635"/>
    <x v="1"/>
    <n v="4.76"/>
    <x v="0"/>
    <x v="1"/>
    <x v="4"/>
    <n v="512"/>
  </r>
  <r>
    <n v="1021"/>
    <s v="Jessica Castillo"/>
    <x v="31"/>
    <x v="0"/>
    <d v="2025-09-18T00:00:00"/>
    <d v="2024-11-17T00:00:00"/>
    <x v="636"/>
    <x v="0"/>
    <n v="489.34"/>
    <x v="1"/>
    <x v="1"/>
    <x v="5"/>
    <n v="305"/>
  </r>
  <r>
    <n v="1078"/>
    <s v="Courtney Powell"/>
    <x v="26"/>
    <x v="1"/>
    <d v="2026-01-24T00:00:00"/>
    <d v="2024-10-03T00:00:00"/>
    <x v="637"/>
    <x v="1"/>
    <n v="282.83"/>
    <x v="1"/>
    <x v="0"/>
    <x v="6"/>
    <n v="478"/>
  </r>
  <r>
    <n v="1094"/>
    <s v="Crystal Oneal"/>
    <x v="47"/>
    <x v="1"/>
    <d v="2025-08-19T00:00:00"/>
    <d v="2025-01-23T00:00:00"/>
    <x v="638"/>
    <x v="2"/>
    <n v="421.74"/>
    <x v="0"/>
    <x v="1"/>
    <x v="4"/>
    <n v="208"/>
  </r>
  <r>
    <n v="1022"/>
    <s v="Alison Robinson"/>
    <x v="58"/>
    <x v="1"/>
    <d v="2025-09-15T00:00:00"/>
    <d v="2024-12-23T00:00:00"/>
    <x v="639"/>
    <x v="1"/>
    <n v="233.55"/>
    <x v="1"/>
    <x v="1"/>
    <x v="6"/>
    <n v="266"/>
  </r>
  <r>
    <n v="1056"/>
    <s v="Justin White"/>
    <x v="26"/>
    <x v="1"/>
    <d v="2026-01-04T00:00:00"/>
    <d v="2025-04-16T00:00:00"/>
    <x v="640"/>
    <x v="2"/>
    <n v="2.23"/>
    <x v="1"/>
    <x v="0"/>
    <x v="6"/>
    <n v="263"/>
  </r>
  <r>
    <n v="1066"/>
    <s v="Linda Ryan"/>
    <x v="0"/>
    <x v="1"/>
    <d v="2025-10-31T00:00:00"/>
    <d v="2024-06-27T00:00:00"/>
    <x v="641"/>
    <x v="3"/>
    <n v="163.76"/>
    <x v="0"/>
    <x v="1"/>
    <x v="0"/>
    <n v="491"/>
  </r>
  <r>
    <n v="1088"/>
    <s v="Meghan Evans"/>
    <x v="2"/>
    <x v="0"/>
    <d v="2025-11-21T00:00:00"/>
    <d v="2025-09-11T00:00:00"/>
    <x v="642"/>
    <x v="1"/>
    <n v="337.15"/>
    <x v="1"/>
    <x v="1"/>
    <x v="0"/>
    <n v="71"/>
  </r>
  <r>
    <n v="1001"/>
    <s v="Tiffany Stone"/>
    <x v="57"/>
    <x v="0"/>
    <d v="2025-08-18T00:00:00"/>
    <d v="2025-05-23T00:00:00"/>
    <x v="643"/>
    <x v="2"/>
    <n v="202.45"/>
    <x v="1"/>
    <x v="1"/>
    <x v="3"/>
    <n v="87"/>
  </r>
  <r>
    <n v="1076"/>
    <s v="Melanie Hernandez"/>
    <x v="30"/>
    <x v="0"/>
    <d v="2026-02-22T00:00:00"/>
    <d v="2025-06-12T00:00:00"/>
    <x v="644"/>
    <x v="1"/>
    <n v="445.97"/>
    <x v="0"/>
    <x v="0"/>
    <x v="3"/>
    <n v="255"/>
  </r>
  <r>
    <n v="1019"/>
    <s v="Gabriel Yang"/>
    <x v="71"/>
    <x v="1"/>
    <d v="2025-10-31T00:00:00"/>
    <d v="2024-07-10T00:00:00"/>
    <x v="645"/>
    <x v="2"/>
    <n v="314.64999999999998"/>
    <x v="1"/>
    <x v="1"/>
    <x v="2"/>
    <n v="478"/>
  </r>
  <r>
    <n v="1005"/>
    <s v="Nicole Garcia"/>
    <x v="33"/>
    <x v="0"/>
    <d v="2025-08-07T00:00:00"/>
    <d v="2024-04-06T00:00:00"/>
    <x v="646"/>
    <x v="0"/>
    <n v="125.33"/>
    <x v="1"/>
    <x v="1"/>
    <x v="4"/>
    <n v="488"/>
  </r>
  <r>
    <n v="1030"/>
    <s v="Jenny Martin"/>
    <x v="65"/>
    <x v="1"/>
    <d v="2025-11-30T00:00:00"/>
    <d v="2025-08-01T00:00:00"/>
    <x v="647"/>
    <x v="1"/>
    <n v="441.93"/>
    <x v="0"/>
    <x v="1"/>
    <x v="4"/>
    <n v="121"/>
  </r>
  <r>
    <n v="1088"/>
    <s v="Audrey Irwin"/>
    <x v="33"/>
    <x v="0"/>
    <d v="2025-11-22T00:00:00"/>
    <d v="2024-09-09T00:00:00"/>
    <x v="648"/>
    <x v="1"/>
    <n v="107.65"/>
    <x v="1"/>
    <x v="1"/>
    <x v="4"/>
    <n v="439"/>
  </r>
  <r>
    <n v="1018"/>
    <s v="Bryan Armstrong"/>
    <x v="9"/>
    <x v="1"/>
    <d v="2025-04-22T00:00:00"/>
    <d v="2025-04-03T00:00:00"/>
    <x v="649"/>
    <x v="2"/>
    <n v="3.36"/>
    <x v="1"/>
    <x v="1"/>
    <x v="1"/>
    <n v="19"/>
  </r>
  <r>
    <n v="1092"/>
    <s v="Lisa Hill"/>
    <x v="9"/>
    <x v="0"/>
    <d v="2025-06-23T00:00:00"/>
    <d v="2024-10-24T00:00:00"/>
    <x v="650"/>
    <x v="0"/>
    <n v="169.01"/>
    <x v="1"/>
    <x v="1"/>
    <x v="1"/>
    <n v="242"/>
  </r>
  <r>
    <n v="1030"/>
    <s v="Susan Delgado"/>
    <x v="45"/>
    <x v="1"/>
    <d v="2025-11-18T00:00:00"/>
    <d v="2025-11-04T00:00:00"/>
    <x v="651"/>
    <x v="2"/>
    <n v="341.44"/>
    <x v="1"/>
    <x v="1"/>
    <x v="5"/>
    <n v="14"/>
  </r>
  <r>
    <n v="1089"/>
    <s v="Bradley Myers"/>
    <x v="41"/>
    <x v="1"/>
    <d v="2025-11-09T00:00:00"/>
    <d v="2024-12-08T00:00:00"/>
    <x v="652"/>
    <x v="2"/>
    <n v="4.6900000000000004"/>
    <x v="0"/>
    <x v="1"/>
    <x v="1"/>
    <n v="336"/>
  </r>
  <r>
    <n v="1043"/>
    <s v="Derek Smith"/>
    <x v="26"/>
    <x v="0"/>
    <d v="2025-05-23T00:00:00"/>
    <d v="2024-10-18T00:00:00"/>
    <x v="653"/>
    <x v="0"/>
    <n v="215.76"/>
    <x v="1"/>
    <x v="1"/>
    <x v="6"/>
    <n v="217"/>
  </r>
  <r>
    <n v="1021"/>
    <s v="Taylor Farley"/>
    <x v="62"/>
    <x v="0"/>
    <d v="2025-10-01T00:00:00"/>
    <d v="2024-09-01T00:00:00"/>
    <x v="654"/>
    <x v="0"/>
    <n v="184.11"/>
    <x v="0"/>
    <x v="1"/>
    <x v="3"/>
    <n v="395"/>
  </r>
  <r>
    <n v="1086"/>
    <s v="Richard Richardson"/>
    <x v="56"/>
    <x v="0"/>
    <d v="2025-11-24T00:00:00"/>
    <d v="2024-12-29T00:00:00"/>
    <x v="655"/>
    <x v="0"/>
    <n v="2.4900000000000002"/>
    <x v="0"/>
    <x v="1"/>
    <x v="0"/>
    <n v="330"/>
  </r>
  <r>
    <n v="1016"/>
    <s v="Ryan Rodriguez"/>
    <x v="55"/>
    <x v="0"/>
    <d v="2025-05-29T00:00:00"/>
    <d v="2025-02-22T00:00:00"/>
    <x v="656"/>
    <x v="1"/>
    <n v="3.05"/>
    <x v="0"/>
    <x v="1"/>
    <x v="4"/>
    <n v="96"/>
  </r>
  <r>
    <n v="1050"/>
    <s v="Jeremy Coleman"/>
    <x v="58"/>
    <x v="1"/>
    <d v="2025-09-11T00:00:00"/>
    <d v="2024-09-03T00:00:00"/>
    <x v="657"/>
    <x v="2"/>
    <n v="0.7"/>
    <x v="1"/>
    <x v="1"/>
    <x v="6"/>
    <n v="373"/>
  </r>
  <r>
    <n v="1079"/>
    <s v="Alexander Williams"/>
    <x v="49"/>
    <x v="0"/>
    <d v="2026-03-20T00:00:00"/>
    <d v="2025-10-08T00:00:00"/>
    <x v="658"/>
    <x v="1"/>
    <n v="0.94"/>
    <x v="1"/>
    <x v="0"/>
    <x v="6"/>
    <n v="163"/>
  </r>
  <r>
    <n v="1027"/>
    <s v="Steven Richards"/>
    <x v="29"/>
    <x v="1"/>
    <d v="2026-03-23T00:00:00"/>
    <d v="2025-01-11T00:00:00"/>
    <x v="659"/>
    <x v="1"/>
    <n v="265.55"/>
    <x v="1"/>
    <x v="0"/>
    <x v="3"/>
    <n v="436"/>
  </r>
  <r>
    <n v="1070"/>
    <s v="Toni Morris DDS"/>
    <x v="39"/>
    <x v="0"/>
    <d v="2025-12-01T00:00:00"/>
    <d v="2024-07-16T00:00:00"/>
    <x v="660"/>
    <x v="1"/>
    <n v="280.77"/>
    <x v="1"/>
    <x v="1"/>
    <x v="3"/>
    <n v="503"/>
  </r>
  <r>
    <n v="1013"/>
    <s v="Zachary Allen"/>
    <x v="46"/>
    <x v="0"/>
    <d v="2026-02-24T00:00:00"/>
    <d v="2025-06-04T00:00:00"/>
    <x v="661"/>
    <x v="2"/>
    <s v=""/>
    <x v="0"/>
    <x v="0"/>
    <x v="3"/>
    <n v="265"/>
  </r>
  <r>
    <n v="1027"/>
    <s v="Mary Wilson"/>
    <x v="57"/>
    <x v="0"/>
    <d v="2025-07-04T00:00:00"/>
    <d v="2025-03-17T00:00:00"/>
    <x v="662"/>
    <x v="1"/>
    <n v="421.57"/>
    <x v="0"/>
    <x v="1"/>
    <x v="3"/>
    <n v="109"/>
  </r>
  <r>
    <n v="1087"/>
    <s v="Nicole Shepard"/>
    <x v="50"/>
    <x v="0"/>
    <d v="2026-03-23T00:00:00"/>
    <d v="2024-04-01T00:00:00"/>
    <x v="663"/>
    <x v="0"/>
    <n v="87.12"/>
    <x v="0"/>
    <x v="0"/>
    <x v="3"/>
    <n v="721"/>
  </r>
  <r>
    <n v="1081"/>
    <s v="Trevor Anderson"/>
    <x v="20"/>
    <x v="0"/>
    <d v="2025-07-06T00:00:00"/>
    <d v="2025-04-10T00:00:00"/>
    <x v="664"/>
    <x v="2"/>
    <n v="175.08"/>
    <x v="0"/>
    <x v="1"/>
    <x v="5"/>
    <n v="87"/>
  </r>
  <r>
    <n v="1053"/>
    <s v="Robert Wade"/>
    <x v="43"/>
    <x v="1"/>
    <d v="2026-02-07T00:00:00"/>
    <d v="2024-07-11T00:00:00"/>
    <x v="665"/>
    <x v="1"/>
    <n v="249.74"/>
    <x v="0"/>
    <x v="0"/>
    <x v="6"/>
    <n v="576"/>
  </r>
  <r>
    <n v="1051"/>
    <s v="Oscar Luna"/>
    <x v="14"/>
    <x v="0"/>
    <d v="2026-03-05T00:00:00"/>
    <d v="2025-03-26T00:00:00"/>
    <x v="666"/>
    <x v="3"/>
    <n v="126.56"/>
    <x v="0"/>
    <x v="0"/>
    <x v="0"/>
    <n v="344"/>
  </r>
  <r>
    <n v="1098"/>
    <s v="Lance Hobbs"/>
    <x v="65"/>
    <x v="1"/>
    <d v="2025-10-10T00:00:00"/>
    <d v="2024-08-18T00:00:00"/>
    <x v="667"/>
    <x v="3"/>
    <n v="143.32"/>
    <x v="1"/>
    <x v="1"/>
    <x v="4"/>
    <n v="418"/>
  </r>
  <r>
    <n v="1009"/>
    <s v="Misty Wells"/>
    <x v="38"/>
    <x v="1"/>
    <d v="2025-07-31T00:00:00"/>
    <d v="2024-08-23T00:00:00"/>
    <x v="668"/>
    <x v="2"/>
    <n v="470.55"/>
    <x v="0"/>
    <x v="1"/>
    <x v="1"/>
    <n v="342"/>
  </r>
  <r>
    <n v="1021"/>
    <s v="Adam Mcdonald"/>
    <x v="50"/>
    <x v="0"/>
    <d v="2025-08-15T00:00:00"/>
    <d v="2024-11-17T00:00:00"/>
    <x v="669"/>
    <x v="0"/>
    <n v="232.14"/>
    <x v="0"/>
    <x v="1"/>
    <x v="3"/>
    <n v="271"/>
  </r>
  <r>
    <n v="1046"/>
    <s v="David Mann"/>
    <x v="9"/>
    <x v="1"/>
    <d v="2026-03-16T00:00:00"/>
    <d v="2024-05-06T00:00:00"/>
    <x v="670"/>
    <x v="1"/>
    <n v="289.63"/>
    <x v="0"/>
    <x v="0"/>
    <x v="1"/>
    <n v="679"/>
  </r>
  <r>
    <n v="1044"/>
    <s v="Daniel White"/>
    <x v="27"/>
    <x v="1"/>
    <d v="2025-04-12T00:00:00"/>
    <d v="2024-07-13T00:00:00"/>
    <x v="671"/>
    <x v="2"/>
    <n v="3.05"/>
    <x v="1"/>
    <x v="1"/>
    <x v="1"/>
    <n v="273"/>
  </r>
  <r>
    <n v="1058"/>
    <s v="Steven Gonzalez"/>
    <x v="31"/>
    <x v="1"/>
    <d v="2026-02-04T00:00:00"/>
    <d v="2025-11-10T00:00:00"/>
    <x v="672"/>
    <x v="1"/>
    <n v="344.72"/>
    <x v="0"/>
    <x v="0"/>
    <x v="5"/>
    <n v="86"/>
  </r>
  <r>
    <n v="1004"/>
    <s v="Samuel Harrison"/>
    <x v="55"/>
    <x v="2"/>
    <d v="2025-08-09T00:00:00"/>
    <d v="2024-07-06T00:00:00"/>
    <x v="673"/>
    <x v="2"/>
    <n v="5.42"/>
    <x v="0"/>
    <x v="1"/>
    <x v="4"/>
    <n v="399"/>
  </r>
  <r>
    <n v="1088"/>
    <s v="Bethany Williams"/>
    <x v="46"/>
    <x v="1"/>
    <d v="2025-11-12T00:00:00"/>
    <d v="2025-04-22T00:00:00"/>
    <x v="674"/>
    <x v="2"/>
    <n v="57.55"/>
    <x v="1"/>
    <x v="1"/>
    <x v="3"/>
    <n v="204"/>
  </r>
  <r>
    <n v="1035"/>
    <s v="Eddie Tate"/>
    <x v="55"/>
    <x v="1"/>
    <d v="2026-01-26T00:00:00"/>
    <d v="2024-09-27T00:00:00"/>
    <x v="675"/>
    <x v="2"/>
    <n v="4.1100000000000003"/>
    <x v="0"/>
    <x v="0"/>
    <x v="4"/>
    <n v="486"/>
  </r>
  <r>
    <n v="1025"/>
    <s v="Christopher Trujillo"/>
    <x v="1"/>
    <x v="1"/>
    <d v="2025-04-06T00:00:00"/>
    <d v="2024-07-28T00:00:00"/>
    <x v="676"/>
    <x v="1"/>
    <n v="233.19"/>
    <x v="1"/>
    <x v="1"/>
    <x v="1"/>
    <n v="252"/>
  </r>
  <r>
    <n v="1068"/>
    <s v="Sarah Thompson"/>
    <x v="62"/>
    <x v="0"/>
    <d v="2026-02-11T00:00:00"/>
    <d v="2025-06-20T00:00:00"/>
    <x v="677"/>
    <x v="2"/>
    <n v="171.9"/>
    <x v="1"/>
    <x v="0"/>
    <x v="3"/>
    <n v="236"/>
  </r>
  <r>
    <n v="1014"/>
    <s v="Bradley Jones"/>
    <x v="10"/>
    <x v="2"/>
    <d v="2025-07-14T00:00:00"/>
    <d v="2024-12-22T00:00:00"/>
    <x v="678"/>
    <x v="0"/>
    <n v="2.83"/>
    <x v="0"/>
    <x v="1"/>
    <x v="1"/>
    <n v="204"/>
  </r>
  <r>
    <n v="1059"/>
    <s v="Emma Ferrell"/>
    <x v="13"/>
    <x v="1"/>
    <d v="2025-09-10T00:00:00"/>
    <d v="2024-04-23T00:00:00"/>
    <x v="679"/>
    <x v="3"/>
    <n v="377.98"/>
    <x v="0"/>
    <x v="1"/>
    <x v="3"/>
    <n v="505"/>
  </r>
  <r>
    <n v="1021"/>
    <s v="Michael Garcia"/>
    <x v="10"/>
    <x v="0"/>
    <d v="2026-03-04T00:00:00"/>
    <d v="2025-08-10T00:00:00"/>
    <x v="680"/>
    <x v="2"/>
    <n v="347.37"/>
    <x v="0"/>
    <x v="0"/>
    <x v="1"/>
    <n v="206"/>
  </r>
  <r>
    <n v="1029"/>
    <s v="Darlene Hodge"/>
    <x v="1"/>
    <x v="1"/>
    <d v="2025-05-27T00:00:00"/>
    <d v="2025-04-20T00:00:00"/>
    <x v="681"/>
    <x v="1"/>
    <n v="70.72"/>
    <x v="1"/>
    <x v="1"/>
    <x v="1"/>
    <n v="37"/>
  </r>
  <r>
    <n v="1005"/>
    <s v="Katherine Rios"/>
    <x v="13"/>
    <x v="0"/>
    <d v="2025-12-24T00:00:00"/>
    <d v="2025-01-05T00:00:00"/>
    <x v="682"/>
    <x v="1"/>
    <n v="265.67"/>
    <x v="1"/>
    <x v="1"/>
    <x v="3"/>
    <n v="353"/>
  </r>
  <r>
    <n v="1094"/>
    <s v="Jennifer Shaffer"/>
    <x v="65"/>
    <x v="0"/>
    <d v="2025-06-08T00:00:00"/>
    <d v="2024-12-26T00:00:00"/>
    <x v="683"/>
    <x v="1"/>
    <n v="382.64"/>
    <x v="0"/>
    <x v="1"/>
    <x v="4"/>
    <n v="164"/>
  </r>
  <r>
    <n v="1065"/>
    <s v="Leslie Newman"/>
    <x v="56"/>
    <x v="0"/>
    <d v="2025-05-11T00:00:00"/>
    <d v="2024-10-22T00:00:00"/>
    <x v="684"/>
    <x v="0"/>
    <n v="1.38"/>
    <x v="1"/>
    <x v="1"/>
    <x v="0"/>
    <n v="201"/>
  </r>
  <r>
    <n v="1058"/>
    <s v="Alejandro Romero"/>
    <x v="57"/>
    <x v="1"/>
    <d v="2025-07-25T00:00:00"/>
    <d v="2024-08-28T00:00:00"/>
    <x v="685"/>
    <x v="1"/>
    <n v="274.89999999999998"/>
    <x v="1"/>
    <x v="1"/>
    <x v="3"/>
    <n v="331"/>
  </r>
  <r>
    <n v="1076"/>
    <s v="Ashley Peterson"/>
    <x v="45"/>
    <x v="0"/>
    <d v="2025-05-30T00:00:00"/>
    <d v="2025-05-06T00:00:00"/>
    <x v="686"/>
    <x v="3"/>
    <n v="476.74"/>
    <x v="0"/>
    <x v="1"/>
    <x v="5"/>
    <n v="24"/>
  </r>
  <r>
    <n v="1073"/>
    <s v="Steven Wallace"/>
    <x v="61"/>
    <x v="1"/>
    <d v="2025-09-25T00:00:00"/>
    <d v="2025-01-11T00:00:00"/>
    <x v="687"/>
    <x v="0"/>
    <n v="556.21"/>
    <x v="1"/>
    <x v="1"/>
    <x v="4"/>
    <n v="257"/>
  </r>
  <r>
    <n v="1054"/>
    <s v="Lindsey Sullivan MD"/>
    <x v="15"/>
    <x v="1"/>
    <d v="2025-04-08T00:00:00"/>
    <d v="2025-01-02T00:00:00"/>
    <x v="688"/>
    <x v="1"/>
    <n v="3.2"/>
    <x v="0"/>
    <x v="1"/>
    <x v="1"/>
    <n v="96"/>
  </r>
  <r>
    <n v="1020"/>
    <s v="William Wilson"/>
    <x v="61"/>
    <x v="1"/>
    <d v="2026-02-16T00:00:00"/>
    <d v="2025-03-14T00:00:00"/>
    <x v="689"/>
    <x v="3"/>
    <n v="387.97"/>
    <x v="1"/>
    <x v="0"/>
    <x v="4"/>
    <n v="339"/>
  </r>
  <r>
    <n v="1087"/>
    <s v="Kenneth Cox"/>
    <x v="5"/>
    <x v="1"/>
    <d v="2026-01-22T00:00:00"/>
    <d v="2025-06-07T00:00:00"/>
    <x v="690"/>
    <x v="3"/>
    <n v="123.28"/>
    <x v="1"/>
    <x v="0"/>
    <x v="0"/>
    <n v="229"/>
  </r>
  <r>
    <n v="1012"/>
    <s v="Susan Winters"/>
    <x v="4"/>
    <x v="0"/>
    <d v="2025-07-25T00:00:00"/>
    <d v="2024-08-31T00:00:00"/>
    <x v="691"/>
    <x v="1"/>
    <n v="353.09"/>
    <x v="1"/>
    <x v="1"/>
    <x v="2"/>
    <n v="328"/>
  </r>
  <r>
    <n v="1085"/>
    <s v="Marissa Randall"/>
    <x v="39"/>
    <x v="1"/>
    <d v="2025-12-23T00:00:00"/>
    <d v="2024-06-12T00:00:00"/>
    <x v="692"/>
    <x v="2"/>
    <n v="3.29"/>
    <x v="0"/>
    <x v="1"/>
    <x v="3"/>
    <n v="559"/>
  </r>
  <r>
    <n v="1012"/>
    <s v="Lydia Davis"/>
    <x v="39"/>
    <x v="0"/>
    <d v="2025-12-03T00:00:00"/>
    <d v="2024-05-18T00:00:00"/>
    <x v="693"/>
    <x v="2"/>
    <n v="321.2"/>
    <x v="0"/>
    <x v="1"/>
    <x v="3"/>
    <n v="564"/>
  </r>
  <r>
    <n v="1063"/>
    <s v="Jason Kennedy"/>
    <x v="28"/>
    <x v="1"/>
    <d v="2025-10-18T00:00:00"/>
    <d v="2024-10-03T00:00:00"/>
    <x v="694"/>
    <x v="1"/>
    <n v="370.45"/>
    <x v="1"/>
    <x v="1"/>
    <x v="2"/>
    <n v="380"/>
  </r>
  <r>
    <n v="1046"/>
    <s v="Melissa Brown"/>
    <x v="50"/>
    <x v="1"/>
    <d v="2025-04-20T00:00:00"/>
    <d v="2024-08-01T00:00:00"/>
    <x v="695"/>
    <x v="1"/>
    <n v="78.13"/>
    <x v="0"/>
    <x v="1"/>
    <x v="3"/>
    <n v="262"/>
  </r>
  <r>
    <n v="1031"/>
    <s v="Shannon Vargas"/>
    <x v="7"/>
    <x v="0"/>
    <d v="2025-05-31T00:00:00"/>
    <d v="2025-02-14T00:00:00"/>
    <x v="696"/>
    <x v="1"/>
    <n v="341.11"/>
    <x v="1"/>
    <x v="1"/>
    <x v="4"/>
    <n v="106"/>
  </r>
  <r>
    <n v="1098"/>
    <s v="Jennifer Dorsey"/>
    <x v="57"/>
    <x v="2"/>
    <d v="2026-02-10T00:00:00"/>
    <d v="2025-06-29T00:00:00"/>
    <x v="697"/>
    <x v="3"/>
    <n v="147.08000000000001"/>
    <x v="1"/>
    <x v="0"/>
    <x v="3"/>
    <n v="226"/>
  </r>
  <r>
    <n v="1021"/>
    <s v="Gary Simpson"/>
    <x v="41"/>
    <x v="1"/>
    <d v="2025-07-05T00:00:00"/>
    <d v="2025-06-21T00:00:00"/>
    <x v="698"/>
    <x v="2"/>
    <n v="462.6"/>
    <x v="0"/>
    <x v="1"/>
    <x v="1"/>
    <n v="14"/>
  </r>
  <r>
    <n v="1085"/>
    <s v="Nicole Adams"/>
    <x v="62"/>
    <x v="0"/>
    <d v="2025-10-13T00:00:00"/>
    <d v="2025-03-13T00:00:00"/>
    <x v="699"/>
    <x v="3"/>
    <n v="400.43"/>
    <x v="0"/>
    <x v="1"/>
    <x v="3"/>
    <n v="214"/>
  </r>
  <r>
    <n v="1015"/>
    <s v="Gary Ramos"/>
    <x v="32"/>
    <x v="0"/>
    <d v="2026-03-25T00:00:00"/>
    <d v="2025-08-31T00:00:00"/>
    <x v="700"/>
    <x v="0"/>
    <n v="3.89"/>
    <x v="0"/>
    <x v="0"/>
    <x v="6"/>
    <n v="206"/>
  </r>
  <r>
    <n v="1015"/>
    <s v="Veronica Shaw"/>
    <x v="23"/>
    <x v="2"/>
    <d v="2025-09-22T00:00:00"/>
    <d v="2024-07-15T00:00:00"/>
    <x v="701"/>
    <x v="1"/>
    <n v="231.98"/>
    <x v="0"/>
    <x v="1"/>
    <x v="6"/>
    <n v="434"/>
  </r>
  <r>
    <n v="1008"/>
    <s v="Lisa Smith"/>
    <x v="51"/>
    <x v="0"/>
    <d v="2025-10-30T00:00:00"/>
    <d v="2024-07-31T00:00:00"/>
    <x v="702"/>
    <x v="1"/>
    <n v="4.9400000000000004"/>
    <x v="1"/>
    <x v="1"/>
    <x v="5"/>
    <n v="456"/>
  </r>
  <r>
    <n v="1080"/>
    <s v="Eric Lawson"/>
    <x v="5"/>
    <x v="1"/>
    <d v="2026-02-02T00:00:00"/>
    <d v="2025-11-14T00:00:00"/>
    <x v="703"/>
    <x v="0"/>
    <n v="179.07"/>
    <x v="1"/>
    <x v="0"/>
    <x v="0"/>
    <n v="80"/>
  </r>
  <r>
    <n v="1067"/>
    <s v="Vanessa Wright"/>
    <x v="50"/>
    <x v="1"/>
    <d v="2026-01-07T00:00:00"/>
    <d v="2025-08-23T00:00:00"/>
    <x v="704"/>
    <x v="0"/>
    <n v="3.79"/>
    <x v="0"/>
    <x v="0"/>
    <x v="3"/>
    <n v="137"/>
  </r>
  <r>
    <n v="1043"/>
    <s v="Edward Thomas"/>
    <x v="56"/>
    <x v="0"/>
    <d v="2025-09-28T00:00:00"/>
    <d v="2024-08-30T00:00:00"/>
    <x v="705"/>
    <x v="2"/>
    <n v="84.72"/>
    <x v="0"/>
    <x v="1"/>
    <x v="0"/>
    <n v="394"/>
  </r>
  <r>
    <n v="1058"/>
    <s v="Cassandra Peterson"/>
    <x v="21"/>
    <x v="1"/>
    <d v="2025-04-23T00:00:00"/>
    <d v="2024-12-08T00:00:00"/>
    <x v="706"/>
    <x v="1"/>
    <s v=""/>
    <x v="0"/>
    <x v="1"/>
    <x v="5"/>
    <n v="136"/>
  </r>
  <r>
    <n v="1001"/>
    <s v="Ellen Stevens"/>
    <x v="35"/>
    <x v="1"/>
    <d v="2025-07-14T00:00:00"/>
    <d v="2024-07-02T00:00:00"/>
    <x v="707"/>
    <x v="1"/>
    <n v="638.12"/>
    <x v="1"/>
    <x v="1"/>
    <x v="5"/>
    <n v="377"/>
  </r>
  <r>
    <n v="1012"/>
    <s v="Shawn Mendoza"/>
    <x v="12"/>
    <x v="1"/>
    <d v="2026-03-25T00:00:00"/>
    <d v="2024-05-03T00:00:00"/>
    <x v="708"/>
    <x v="0"/>
    <n v="87.35"/>
    <x v="1"/>
    <x v="0"/>
    <x v="5"/>
    <n v="691"/>
  </r>
  <r>
    <n v="1066"/>
    <s v="Sandra Hill"/>
    <x v="53"/>
    <x v="1"/>
    <d v="2025-08-10T00:00:00"/>
    <d v="2025-01-06T00:00:00"/>
    <x v="709"/>
    <x v="1"/>
    <n v="1.25"/>
    <x v="0"/>
    <x v="1"/>
    <x v="1"/>
    <n v="216"/>
  </r>
  <r>
    <n v="1015"/>
    <s v="Oscar Hunt"/>
    <x v="36"/>
    <x v="1"/>
    <d v="2025-06-11T00:00:00"/>
    <d v="2024-07-02T00:00:00"/>
    <x v="710"/>
    <x v="0"/>
    <n v="482.84"/>
    <x v="0"/>
    <x v="1"/>
    <x v="3"/>
    <n v="344"/>
  </r>
  <r>
    <n v="1024"/>
    <s v="Tristan Booth"/>
    <x v="6"/>
    <x v="2"/>
    <d v="2025-07-10T00:00:00"/>
    <d v="2024-07-16T00:00:00"/>
    <x v="711"/>
    <x v="2"/>
    <n v="477.72"/>
    <x v="1"/>
    <x v="1"/>
    <x v="3"/>
    <n v="359"/>
  </r>
  <r>
    <n v="1013"/>
    <s v="Ashlee Warren"/>
    <x v="1"/>
    <x v="1"/>
    <d v="2026-01-21T00:00:00"/>
    <d v="2024-06-01T00:00:00"/>
    <x v="712"/>
    <x v="3"/>
    <n v="3.19"/>
    <x v="0"/>
    <x v="0"/>
    <x v="1"/>
    <n v="599"/>
  </r>
  <r>
    <n v="1024"/>
    <s v="Alexander Vega"/>
    <x v="35"/>
    <x v="1"/>
    <d v="2025-08-17T00:00:00"/>
    <d v="2025-08-06T00:00:00"/>
    <x v="713"/>
    <x v="2"/>
    <n v="270.14999999999998"/>
    <x v="0"/>
    <x v="1"/>
    <x v="5"/>
    <n v="11"/>
  </r>
  <r>
    <n v="1061"/>
    <s v="Breanna Lewis"/>
    <x v="65"/>
    <x v="0"/>
    <d v="2025-10-12T00:00:00"/>
    <d v="2025-06-15T00:00:00"/>
    <x v="714"/>
    <x v="1"/>
    <n v="207.45"/>
    <x v="0"/>
    <x v="1"/>
    <x v="4"/>
    <n v="119"/>
  </r>
  <r>
    <n v="1095"/>
    <s v="Jackie Lane"/>
    <x v="18"/>
    <x v="1"/>
    <d v="2025-06-04T00:00:00"/>
    <d v="2024-05-29T00:00:00"/>
    <x v="715"/>
    <x v="0"/>
    <n v="3.69"/>
    <x v="0"/>
    <x v="1"/>
    <x v="4"/>
    <n v="371"/>
  </r>
  <r>
    <n v="1048"/>
    <s v="Shawn Cordova"/>
    <x v="27"/>
    <x v="1"/>
    <d v="2025-11-27T00:00:00"/>
    <d v="2024-07-30T00:00:00"/>
    <x v="716"/>
    <x v="2"/>
    <n v="3.14"/>
    <x v="1"/>
    <x v="1"/>
    <x v="1"/>
    <n v="485"/>
  </r>
  <r>
    <n v="1033"/>
    <s v="Christina Macdonald"/>
    <x v="38"/>
    <x v="0"/>
    <d v="2025-09-16T00:00:00"/>
    <d v="2025-01-23T00:00:00"/>
    <x v="717"/>
    <x v="3"/>
    <n v="1"/>
    <x v="0"/>
    <x v="1"/>
    <x v="1"/>
    <n v="236"/>
  </r>
  <r>
    <n v="1085"/>
    <s v="Dylan Jones"/>
    <x v="6"/>
    <x v="0"/>
    <d v="2025-10-02T00:00:00"/>
    <d v="2025-07-04T00:00:00"/>
    <x v="718"/>
    <x v="3"/>
    <n v="5.48"/>
    <x v="1"/>
    <x v="1"/>
    <x v="3"/>
    <n v="90"/>
  </r>
  <r>
    <n v="1003"/>
    <s v="Christine Herring"/>
    <x v="72"/>
    <x v="0"/>
    <d v="2025-12-22T00:00:00"/>
    <d v="2025-03-08T00:00:00"/>
    <x v="719"/>
    <x v="3"/>
    <n v="508.18"/>
    <x v="0"/>
    <x v="1"/>
    <x v="6"/>
    <n v="289"/>
  </r>
  <r>
    <n v="1030"/>
    <s v="Brandon Carter"/>
    <x v="14"/>
    <x v="0"/>
    <d v="2025-05-10T00:00:00"/>
    <d v="2025-02-27T00:00:00"/>
    <x v="408"/>
    <x v="2"/>
    <n v="290.66000000000003"/>
    <x v="1"/>
    <x v="1"/>
    <x v="0"/>
    <n v="72"/>
  </r>
  <r>
    <n v="1083"/>
    <s v="Lori Dean"/>
    <x v="51"/>
    <x v="0"/>
    <d v="2025-11-05T00:00:00"/>
    <d v="2024-08-15T00:00:00"/>
    <x v="720"/>
    <x v="1"/>
    <n v="3.43"/>
    <x v="1"/>
    <x v="1"/>
    <x v="5"/>
    <n v="447"/>
  </r>
  <r>
    <n v="1004"/>
    <s v="Deborah Robinson"/>
    <x v="12"/>
    <x v="0"/>
    <d v="2026-01-25T00:00:00"/>
    <d v="2024-10-30T00:00:00"/>
    <x v="721"/>
    <x v="0"/>
    <n v="178.32"/>
    <x v="0"/>
    <x v="0"/>
    <x v="5"/>
    <n v="452"/>
  </r>
  <r>
    <n v="1051"/>
    <s v="Jason Tate"/>
    <x v="67"/>
    <x v="0"/>
    <d v="2026-01-27T00:00:00"/>
    <d v="2025-03-07T00:00:00"/>
    <x v="722"/>
    <x v="0"/>
    <n v="542.96"/>
    <x v="0"/>
    <x v="0"/>
    <x v="0"/>
    <n v="326"/>
  </r>
  <r>
    <n v="1059"/>
    <s v="Jill Mcconnell"/>
    <x v="16"/>
    <x v="0"/>
    <d v="2025-03-28T00:00:00"/>
    <d v="2025-02-16T00:00:00"/>
    <x v="723"/>
    <x v="0"/>
    <n v="5.23"/>
    <x v="1"/>
    <x v="1"/>
    <x v="6"/>
    <n v="40"/>
  </r>
  <r>
    <n v="1044"/>
    <s v="Kyle Barnes Jr."/>
    <x v="46"/>
    <x v="1"/>
    <d v="2025-04-18T00:00:00"/>
    <d v="2024-09-24T00:00:00"/>
    <x v="724"/>
    <x v="3"/>
    <n v="156.1"/>
    <x v="0"/>
    <x v="1"/>
    <x v="3"/>
    <n v="206"/>
  </r>
  <r>
    <n v="1068"/>
    <s v="Regina Smith"/>
    <x v="43"/>
    <x v="2"/>
    <d v="2025-08-30T00:00:00"/>
    <d v="2024-12-15T00:00:00"/>
    <x v="725"/>
    <x v="3"/>
    <n v="246.13"/>
    <x v="1"/>
    <x v="1"/>
    <x v="6"/>
    <n v="258"/>
  </r>
  <r>
    <n v="1024"/>
    <s v="Jeffrey Warren"/>
    <x v="47"/>
    <x v="0"/>
    <d v="2025-07-20T00:00:00"/>
    <d v="2024-11-21T00:00:00"/>
    <x v="726"/>
    <x v="0"/>
    <n v="3.75"/>
    <x v="1"/>
    <x v="1"/>
    <x v="4"/>
    <n v="241"/>
  </r>
  <r>
    <n v="1010"/>
    <s v="Andre Crosby"/>
    <x v="14"/>
    <x v="0"/>
    <d v="2026-02-16T00:00:00"/>
    <d v="2024-07-07T00:00:00"/>
    <x v="727"/>
    <x v="3"/>
    <n v="235.81"/>
    <x v="1"/>
    <x v="0"/>
    <x v="0"/>
    <n v="589"/>
  </r>
  <r>
    <n v="1099"/>
    <s v="Jessica Maldonado DDS"/>
    <x v="62"/>
    <x v="1"/>
    <d v="2025-04-21T00:00:00"/>
    <d v="2024-09-20T00:00:00"/>
    <x v="728"/>
    <x v="0"/>
    <n v="221.06"/>
    <x v="1"/>
    <x v="1"/>
    <x v="3"/>
    <n v="213"/>
  </r>
  <r>
    <n v="1060"/>
    <s v="Ian Bush"/>
    <x v="45"/>
    <x v="1"/>
    <d v="2026-01-09T00:00:00"/>
    <d v="2025-06-20T00:00:00"/>
    <x v="729"/>
    <x v="0"/>
    <n v="468.48"/>
    <x v="1"/>
    <x v="0"/>
    <x v="5"/>
    <n v="203"/>
  </r>
  <r>
    <n v="1044"/>
    <s v="Nicole Warren"/>
    <x v="41"/>
    <x v="0"/>
    <d v="2025-09-19T00:00:00"/>
    <d v="2025-02-07T00:00:00"/>
    <x v="730"/>
    <x v="3"/>
    <n v="552.41999999999996"/>
    <x v="1"/>
    <x v="1"/>
    <x v="1"/>
    <n v="224"/>
  </r>
  <r>
    <n v="1047"/>
    <s v="Dennis Jacobs"/>
    <x v="66"/>
    <x v="1"/>
    <d v="2026-02-18T00:00:00"/>
    <d v="2024-06-02T00:00:00"/>
    <x v="731"/>
    <x v="3"/>
    <n v="307.29000000000002"/>
    <x v="0"/>
    <x v="0"/>
    <x v="5"/>
    <n v="626"/>
  </r>
  <r>
    <n v="1063"/>
    <s v="Edward Black"/>
    <x v="19"/>
    <x v="0"/>
    <d v="2025-12-04T00:00:00"/>
    <d v="2025-10-11T00:00:00"/>
    <x v="732"/>
    <x v="1"/>
    <n v="2.96"/>
    <x v="1"/>
    <x v="1"/>
    <x v="6"/>
    <n v="54"/>
  </r>
  <r>
    <n v="1036"/>
    <s v="Suzanne Jenkins"/>
    <x v="64"/>
    <x v="1"/>
    <d v="2025-10-13T00:00:00"/>
    <d v="2024-06-16T00:00:00"/>
    <x v="733"/>
    <x v="1"/>
    <n v="278.85000000000002"/>
    <x v="0"/>
    <x v="1"/>
    <x v="2"/>
    <n v="484"/>
  </r>
  <r>
    <n v="1002"/>
    <s v="Lindsey Green"/>
    <x v="50"/>
    <x v="0"/>
    <d v="2025-06-02T00:00:00"/>
    <d v="2024-06-21T00:00:00"/>
    <x v="734"/>
    <x v="2"/>
    <n v="270.70999999999998"/>
    <x v="1"/>
    <x v="1"/>
    <x v="3"/>
    <n v="346"/>
  </r>
  <r>
    <n v="1075"/>
    <s v="Sarah Hernandez"/>
    <x v="62"/>
    <x v="0"/>
    <d v="2025-09-03T00:00:00"/>
    <d v="2024-10-27T00:00:00"/>
    <x v="735"/>
    <x v="1"/>
    <n v="253.36"/>
    <x v="0"/>
    <x v="1"/>
    <x v="3"/>
    <n v="311"/>
  </r>
  <r>
    <n v="1090"/>
    <s v="Christina Eaton"/>
    <x v="49"/>
    <x v="1"/>
    <d v="2026-01-20T00:00:00"/>
    <d v="2025-03-10T00:00:00"/>
    <x v="736"/>
    <x v="2"/>
    <n v="192.87"/>
    <x v="1"/>
    <x v="0"/>
    <x v="6"/>
    <n v="316"/>
  </r>
  <r>
    <n v="1000"/>
    <s v="Angela Rogers"/>
    <x v="25"/>
    <x v="1"/>
    <d v="2025-08-14T00:00:00"/>
    <d v="2025-04-10T00:00:00"/>
    <x v="737"/>
    <x v="1"/>
    <n v="3.98"/>
    <x v="1"/>
    <x v="1"/>
    <x v="3"/>
    <n v="126"/>
  </r>
  <r>
    <n v="1073"/>
    <s v="Molly Hayden"/>
    <x v="68"/>
    <x v="2"/>
    <d v="2026-01-06T00:00:00"/>
    <d v="2025-02-22T00:00:00"/>
    <x v="738"/>
    <x v="3"/>
    <n v="407.8"/>
    <x v="1"/>
    <x v="0"/>
    <x v="0"/>
    <n v="318"/>
  </r>
  <r>
    <n v="1075"/>
    <s v="Brian Clarke"/>
    <x v="59"/>
    <x v="1"/>
    <d v="2025-04-05T00:00:00"/>
    <d v="2024-12-20T00:00:00"/>
    <x v="739"/>
    <x v="2"/>
    <n v="348.18"/>
    <x v="1"/>
    <x v="1"/>
    <x v="0"/>
    <n v="106"/>
  </r>
  <r>
    <n v="1033"/>
    <s v="Steven Morgan"/>
    <x v="44"/>
    <x v="1"/>
    <d v="2025-05-24T00:00:00"/>
    <d v="2024-09-09T00:00:00"/>
    <x v="740"/>
    <x v="1"/>
    <n v="396.9"/>
    <x v="0"/>
    <x v="1"/>
    <x v="4"/>
    <n v="257"/>
  </r>
  <r>
    <n v="1051"/>
    <s v="Kyle Jones"/>
    <x v="61"/>
    <x v="1"/>
    <d v="2025-10-31T00:00:00"/>
    <d v="2024-09-01T00:00:00"/>
    <x v="741"/>
    <x v="2"/>
    <m/>
    <x v="1"/>
    <x v="1"/>
    <x v="4"/>
    <n v="425"/>
  </r>
  <r>
    <n v="1021"/>
    <s v="Mrs. Jennifer Ingram"/>
    <x v="71"/>
    <x v="1"/>
    <d v="2025-09-11T00:00:00"/>
    <d v="2024-11-30T00:00:00"/>
    <x v="742"/>
    <x v="3"/>
    <n v="473.2"/>
    <x v="1"/>
    <x v="1"/>
    <x v="2"/>
    <n v="285"/>
  </r>
  <r>
    <n v="1052"/>
    <s v="Troy Torres"/>
    <x v="56"/>
    <x v="0"/>
    <d v="2025-05-04T00:00:00"/>
    <d v="2024-09-20T00:00:00"/>
    <x v="743"/>
    <x v="0"/>
    <n v="124.09"/>
    <x v="1"/>
    <x v="1"/>
    <x v="0"/>
    <n v="226"/>
  </r>
  <r>
    <n v="1028"/>
    <s v="Stephanie Moss"/>
    <x v="54"/>
    <x v="0"/>
    <d v="2026-03-04T00:00:00"/>
    <d v="2025-04-02T00:00:00"/>
    <x v="744"/>
    <x v="3"/>
    <n v="58.6"/>
    <x v="0"/>
    <x v="0"/>
    <x v="3"/>
    <n v="336"/>
  </r>
  <r>
    <n v="1062"/>
    <s v="Jade Blanchard MD"/>
    <x v="13"/>
    <x v="0"/>
    <d v="2026-01-29T00:00:00"/>
    <d v="2024-07-01T00:00:00"/>
    <x v="745"/>
    <x v="1"/>
    <n v="151.03"/>
    <x v="1"/>
    <x v="0"/>
    <x v="3"/>
    <n v="577"/>
  </r>
  <r>
    <n v="1088"/>
    <s v="Pamela Johnson"/>
    <x v="56"/>
    <x v="0"/>
    <d v="2025-07-01T00:00:00"/>
    <d v="2024-11-12T00:00:00"/>
    <x v="746"/>
    <x v="3"/>
    <n v="4.59"/>
    <x v="0"/>
    <x v="1"/>
    <x v="0"/>
    <n v="231"/>
  </r>
  <r>
    <n v="1028"/>
    <s v="Glenn Wall"/>
    <x v="29"/>
    <x v="0"/>
    <d v="2025-09-15T00:00:00"/>
    <d v="2025-05-13T00:00:00"/>
    <x v="747"/>
    <x v="0"/>
    <n v="112.9"/>
    <x v="0"/>
    <x v="1"/>
    <x v="3"/>
    <n v="125"/>
  </r>
  <r>
    <n v="1050"/>
    <s v="Christopher Beard"/>
    <x v="53"/>
    <x v="1"/>
    <d v="2026-03-04T00:00:00"/>
    <d v="2024-06-01T00:00:00"/>
    <x v="748"/>
    <x v="3"/>
    <n v="1.39"/>
    <x v="0"/>
    <x v="0"/>
    <x v="1"/>
    <n v="641"/>
  </r>
  <r>
    <n v="1004"/>
    <s v="Darin Caldwell"/>
    <x v="8"/>
    <x v="1"/>
    <d v="2025-09-03T00:00:00"/>
    <d v="2025-02-20T00:00:00"/>
    <x v="749"/>
    <x v="0"/>
    <n v="207.37"/>
    <x v="1"/>
    <x v="1"/>
    <x v="4"/>
    <n v="195"/>
  </r>
  <r>
    <n v="1044"/>
    <s v="Henry Henderson"/>
    <x v="44"/>
    <x v="1"/>
    <d v="2025-06-10T00:00:00"/>
    <d v="2024-08-02T00:00:00"/>
    <x v="750"/>
    <x v="1"/>
    <s v=""/>
    <x v="1"/>
    <x v="1"/>
    <x v="4"/>
    <n v="312"/>
  </r>
  <r>
    <n v="1030"/>
    <s v="Regina Giles"/>
    <x v="24"/>
    <x v="1"/>
    <d v="2025-10-24T00:00:00"/>
    <d v="2024-11-27T00:00:00"/>
    <x v="751"/>
    <x v="2"/>
    <n v="289.97000000000003"/>
    <x v="0"/>
    <x v="1"/>
    <x v="2"/>
    <n v="331"/>
  </r>
  <r>
    <n v="1073"/>
    <s v="Curtis Cooke"/>
    <x v="32"/>
    <x v="1"/>
    <d v="2025-09-29T00:00:00"/>
    <d v="2024-06-24T00:00:00"/>
    <x v="752"/>
    <x v="2"/>
    <n v="534.33000000000004"/>
    <x v="1"/>
    <x v="1"/>
    <x v="6"/>
    <n v="462"/>
  </r>
  <r>
    <n v="1018"/>
    <s v="Joel Marshall"/>
    <x v="33"/>
    <x v="1"/>
    <d v="2025-12-23T00:00:00"/>
    <d v="2025-02-23T00:00:00"/>
    <x v="753"/>
    <x v="2"/>
    <n v="343.62"/>
    <x v="1"/>
    <x v="1"/>
    <x v="4"/>
    <n v="303"/>
  </r>
  <r>
    <n v="1062"/>
    <s v="Peter Schaefer"/>
    <x v="32"/>
    <x v="0"/>
    <d v="2025-08-27T00:00:00"/>
    <d v="2024-06-02T00:00:00"/>
    <x v="754"/>
    <x v="0"/>
    <n v="2.09"/>
    <x v="1"/>
    <x v="1"/>
    <x v="6"/>
    <n v="451"/>
  </r>
  <r>
    <n v="1014"/>
    <s v="Andrew Cross"/>
    <x v="27"/>
    <x v="0"/>
    <d v="2026-03-26T00:00:00"/>
    <d v="2026-03-07T00:00:00"/>
    <x v="755"/>
    <x v="3"/>
    <n v="3.1"/>
    <x v="1"/>
    <x v="0"/>
    <x v="1"/>
    <n v="19"/>
  </r>
  <r>
    <n v="1030"/>
    <s v="Jonathan Fernandez"/>
    <x v="51"/>
    <x v="1"/>
    <d v="2025-12-03T00:00:00"/>
    <d v="2025-09-08T00:00:00"/>
    <x v="756"/>
    <x v="1"/>
    <n v="2.78"/>
    <x v="0"/>
    <x v="1"/>
    <x v="5"/>
    <n v="86"/>
  </r>
  <r>
    <n v="1081"/>
    <s v="Rebecca Gould"/>
    <x v="14"/>
    <x v="0"/>
    <d v="2025-04-04T00:00:00"/>
    <d v="2024-12-17T00:00:00"/>
    <x v="757"/>
    <x v="3"/>
    <n v="528.01"/>
    <x v="1"/>
    <x v="1"/>
    <x v="0"/>
    <n v="108"/>
  </r>
  <r>
    <n v="1065"/>
    <s v="Anthony Nash"/>
    <x v="20"/>
    <x v="1"/>
    <d v="2025-05-13T00:00:00"/>
    <d v="2024-08-21T00:00:00"/>
    <x v="758"/>
    <x v="0"/>
    <n v="4.3099999999999996"/>
    <x v="0"/>
    <x v="1"/>
    <x v="5"/>
    <n v="265"/>
  </r>
  <r>
    <n v="1081"/>
    <s v="Kimberly Fitzpatrick"/>
    <x v="53"/>
    <x v="0"/>
    <d v="2025-10-07T00:00:00"/>
    <d v="2024-12-09T00:00:00"/>
    <x v="759"/>
    <x v="1"/>
    <s v=""/>
    <x v="1"/>
    <x v="1"/>
    <x v="1"/>
    <n v="302"/>
  </r>
  <r>
    <n v="1017"/>
    <s v="Elizabeth Duke"/>
    <x v="26"/>
    <x v="0"/>
    <d v="2026-01-15T00:00:00"/>
    <d v="2025-07-24T00:00:00"/>
    <x v="760"/>
    <x v="3"/>
    <n v="175.4"/>
    <x v="1"/>
    <x v="0"/>
    <x v="6"/>
    <n v="175"/>
  </r>
  <r>
    <n v="1001"/>
    <s v="Richard Griffin"/>
    <x v="10"/>
    <x v="1"/>
    <d v="2025-10-24T00:00:00"/>
    <d v="2025-08-21T00:00:00"/>
    <x v="761"/>
    <x v="1"/>
    <n v="0.9"/>
    <x v="0"/>
    <x v="1"/>
    <x v="1"/>
    <n v="64"/>
  </r>
  <r>
    <n v="1042"/>
    <s v="Erica Jimenez"/>
    <x v="68"/>
    <x v="1"/>
    <d v="2025-12-17T00:00:00"/>
    <d v="2024-09-22T00:00:00"/>
    <x v="762"/>
    <x v="2"/>
    <n v="582.75"/>
    <x v="1"/>
    <x v="1"/>
    <x v="0"/>
    <n v="451"/>
  </r>
  <r>
    <n v="1015"/>
    <s v="Melissa Allen"/>
    <x v="35"/>
    <x v="0"/>
    <d v="2025-10-29T00:00:00"/>
    <d v="2025-06-13T00:00:00"/>
    <x v="763"/>
    <x v="3"/>
    <n v="595.53"/>
    <x v="1"/>
    <x v="1"/>
    <x v="5"/>
    <n v="138"/>
  </r>
  <r>
    <n v="1098"/>
    <s v="Manuel Becker"/>
    <x v="15"/>
    <x v="0"/>
    <d v="2025-05-17T00:00:00"/>
    <d v="2024-08-29T00:00:00"/>
    <x v="764"/>
    <x v="2"/>
    <n v="139.99"/>
    <x v="1"/>
    <x v="1"/>
    <x v="1"/>
    <n v="261"/>
  </r>
  <r>
    <n v="1099"/>
    <s v="Erika Davis"/>
    <x v="24"/>
    <x v="1"/>
    <d v="2025-07-30T00:00:00"/>
    <d v="2025-03-09T00:00:00"/>
    <x v="765"/>
    <x v="0"/>
    <n v="522.82000000000005"/>
    <x v="0"/>
    <x v="1"/>
    <x v="2"/>
    <n v="143"/>
  </r>
  <r>
    <n v="1032"/>
    <s v="Shannon Flores"/>
    <x v="30"/>
    <x v="0"/>
    <d v="2025-09-07T00:00:00"/>
    <d v="2024-05-30T00:00:00"/>
    <x v="766"/>
    <x v="0"/>
    <n v="330.88"/>
    <x v="0"/>
    <x v="1"/>
    <x v="3"/>
    <n v="465"/>
  </r>
  <r>
    <n v="1034"/>
    <s v="Tara Garrison"/>
    <x v="71"/>
    <x v="1"/>
    <d v="2026-02-03T00:00:00"/>
    <d v="2025-10-04T00:00:00"/>
    <x v="767"/>
    <x v="0"/>
    <n v="602.61"/>
    <x v="0"/>
    <x v="0"/>
    <x v="2"/>
    <n v="122"/>
  </r>
  <r>
    <n v="1005"/>
    <s v="Pamela Davis"/>
    <x v="57"/>
    <x v="0"/>
    <d v="2025-11-23T00:00:00"/>
    <d v="2024-04-12T00:00:00"/>
    <x v="768"/>
    <x v="3"/>
    <n v="63.9"/>
    <x v="0"/>
    <x v="1"/>
    <x v="3"/>
    <n v="590"/>
  </r>
  <r>
    <n v="1050"/>
    <s v="Sandra Terry"/>
    <x v="46"/>
    <x v="0"/>
    <d v="2025-07-15T00:00:00"/>
    <d v="2024-07-23T00:00:00"/>
    <x v="769"/>
    <x v="2"/>
    <n v="513.42999999999995"/>
    <x v="1"/>
    <x v="1"/>
    <x v="3"/>
    <n v="357"/>
  </r>
  <r>
    <n v="1069"/>
    <s v="Steven Miller"/>
    <x v="22"/>
    <x v="1"/>
    <d v="2025-05-01T00:00:00"/>
    <d v="2025-04-28T00:00:00"/>
    <x v="770"/>
    <x v="1"/>
    <n v="272.41000000000003"/>
    <x v="1"/>
    <x v="1"/>
    <x v="3"/>
    <n v="3"/>
  </r>
  <r>
    <n v="1001"/>
    <s v="Haley King"/>
    <x v="32"/>
    <x v="1"/>
    <d v="2026-02-12T00:00:00"/>
    <d v="2024-06-21T00:00:00"/>
    <x v="771"/>
    <x v="0"/>
    <n v="268.72000000000003"/>
    <x v="1"/>
    <x v="0"/>
    <x v="6"/>
    <n v="601"/>
  </r>
  <r>
    <n v="1066"/>
    <s v="Jonathan Wood"/>
    <x v="70"/>
    <x v="0"/>
    <d v="2025-05-23T00:00:00"/>
    <d v="2024-12-26T00:00:00"/>
    <x v="772"/>
    <x v="1"/>
    <n v="5.35"/>
    <x v="0"/>
    <x v="1"/>
    <x v="0"/>
    <n v="148"/>
  </r>
  <r>
    <n v="1018"/>
    <s v="Jessica Ali"/>
    <x v="11"/>
    <x v="0"/>
    <d v="2025-05-01T00:00:00"/>
    <d v="2024-09-17T00:00:00"/>
    <x v="773"/>
    <x v="0"/>
    <n v="82.15"/>
    <x v="0"/>
    <x v="1"/>
    <x v="1"/>
    <n v="226"/>
  </r>
  <r>
    <n v="1033"/>
    <s v="Bridget Cooley"/>
    <x v="68"/>
    <x v="0"/>
    <d v="2026-02-22T00:00:00"/>
    <d v="2025-02-25T00:00:00"/>
    <x v="774"/>
    <x v="3"/>
    <n v="192.56"/>
    <x v="0"/>
    <x v="0"/>
    <x v="0"/>
    <n v="362"/>
  </r>
  <r>
    <n v="1094"/>
    <s v="Brad Hill"/>
    <x v="43"/>
    <x v="1"/>
    <d v="2025-10-22T00:00:00"/>
    <d v="2025-02-28T00:00:00"/>
    <x v="775"/>
    <x v="0"/>
    <n v="103.22"/>
    <x v="0"/>
    <x v="1"/>
    <x v="6"/>
    <n v="236"/>
  </r>
  <r>
    <n v="1078"/>
    <s v="Nathan Murphy"/>
    <x v="61"/>
    <x v="0"/>
    <d v="2025-11-24T00:00:00"/>
    <d v="2024-05-10T00:00:00"/>
    <x v="776"/>
    <x v="0"/>
    <n v="1.81"/>
    <x v="1"/>
    <x v="1"/>
    <x v="4"/>
    <n v="563"/>
  </r>
  <r>
    <n v="1072"/>
    <s v="Stephanie Caldwell MD"/>
    <x v="23"/>
    <x v="0"/>
    <d v="2025-07-04T00:00:00"/>
    <d v="2025-01-19T00:00:00"/>
    <x v="777"/>
    <x v="1"/>
    <n v="74.84"/>
    <x v="0"/>
    <x v="1"/>
    <x v="6"/>
    <n v="166"/>
  </r>
  <r>
    <n v="1011"/>
    <s v="Henry Carlson"/>
    <x v="53"/>
    <x v="0"/>
    <d v="2025-09-23T00:00:00"/>
    <d v="2024-04-01T00:00:00"/>
    <x v="778"/>
    <x v="1"/>
    <n v="2.5299999999999998"/>
    <x v="0"/>
    <x v="1"/>
    <x v="1"/>
    <n v="540"/>
  </r>
  <r>
    <n v="1045"/>
    <s v="Michael Evans"/>
    <x v="53"/>
    <x v="1"/>
    <d v="2025-03-28T00:00:00"/>
    <d v="2025-01-04T00:00:00"/>
    <x v="779"/>
    <x v="1"/>
    <n v="341.23"/>
    <x v="1"/>
    <x v="1"/>
    <x v="1"/>
    <n v="83"/>
  </r>
  <r>
    <n v="1095"/>
    <s v="Regina Wilson"/>
    <x v="59"/>
    <x v="1"/>
    <d v="2025-12-31T00:00:00"/>
    <d v="2024-12-14T00:00:00"/>
    <x v="780"/>
    <x v="2"/>
    <n v="365.91"/>
    <x v="0"/>
    <x v="1"/>
    <x v="0"/>
    <n v="382"/>
  </r>
  <r>
    <n v="1074"/>
    <s v="Jeremiah Cruz"/>
    <x v="38"/>
    <x v="1"/>
    <d v="2026-03-14T00:00:00"/>
    <d v="2026-02-10T00:00:00"/>
    <x v="781"/>
    <x v="2"/>
    <n v="199.19"/>
    <x v="0"/>
    <x v="0"/>
    <x v="1"/>
    <n v="32"/>
  </r>
  <r>
    <n v="1080"/>
    <s v="Nicholas Vasquez"/>
    <x v="37"/>
    <x v="1"/>
    <d v="2025-10-30T00:00:00"/>
    <d v="2025-06-12T00:00:00"/>
    <x v="782"/>
    <x v="2"/>
    <n v="4.5199999999999996"/>
    <x v="1"/>
    <x v="1"/>
    <x v="2"/>
    <n v="140"/>
  </r>
  <r>
    <n v="1069"/>
    <s v="Cheryl Smith"/>
    <x v="42"/>
    <x v="0"/>
    <d v="2025-10-01T00:00:00"/>
    <d v="2024-11-03T00:00:00"/>
    <x v="783"/>
    <x v="0"/>
    <n v="97.46"/>
    <x v="1"/>
    <x v="1"/>
    <x v="2"/>
    <n v="332"/>
  </r>
  <r>
    <n v="1051"/>
    <s v="Matthew Moore"/>
    <x v="41"/>
    <x v="0"/>
    <d v="2026-03-02T00:00:00"/>
    <d v="2025-03-04T00:00:00"/>
    <x v="784"/>
    <x v="3"/>
    <n v="1.28"/>
    <x v="0"/>
    <x v="0"/>
    <x v="1"/>
    <n v="363"/>
  </r>
  <r>
    <n v="1092"/>
    <s v="Katherine Wilson"/>
    <x v="64"/>
    <x v="0"/>
    <d v="2025-12-01T00:00:00"/>
    <d v="2024-07-31T00:00:00"/>
    <x v="785"/>
    <x v="1"/>
    <n v="203.3"/>
    <x v="0"/>
    <x v="1"/>
    <x v="2"/>
    <n v="488"/>
  </r>
  <r>
    <n v="1093"/>
    <s v="James Miller"/>
    <x v="13"/>
    <x v="1"/>
    <d v="2025-09-09T00:00:00"/>
    <d v="2024-11-25T00:00:00"/>
    <x v="786"/>
    <x v="3"/>
    <n v="139.43"/>
    <x v="1"/>
    <x v="1"/>
    <x v="3"/>
    <n v="288"/>
  </r>
  <r>
    <n v="1075"/>
    <s v="John Rich"/>
    <x v="42"/>
    <x v="0"/>
    <d v="2025-06-20T00:00:00"/>
    <d v="2024-09-05T00:00:00"/>
    <x v="787"/>
    <x v="3"/>
    <s v=""/>
    <x v="0"/>
    <x v="1"/>
    <x v="2"/>
    <n v="288"/>
  </r>
  <r>
    <n v="1055"/>
    <s v="Kathleen Oneal"/>
    <x v="67"/>
    <x v="1"/>
    <d v="2025-05-17T00:00:00"/>
    <d v="2024-07-28T00:00:00"/>
    <x v="788"/>
    <x v="1"/>
    <n v="74.36"/>
    <x v="0"/>
    <x v="1"/>
    <x v="0"/>
    <n v="293"/>
  </r>
  <r>
    <n v="1033"/>
    <s v="Courtney Hunt"/>
    <x v="70"/>
    <x v="0"/>
    <d v="2025-08-17T00:00:00"/>
    <d v="2024-10-21T00:00:00"/>
    <x v="789"/>
    <x v="3"/>
    <n v="340.38"/>
    <x v="1"/>
    <x v="1"/>
    <x v="0"/>
    <n v="300"/>
  </r>
  <r>
    <n v="1074"/>
    <s v="Steven Wilson"/>
    <x v="42"/>
    <x v="0"/>
    <d v="2025-04-08T00:00:00"/>
    <d v="2025-02-03T00:00:00"/>
    <x v="790"/>
    <x v="0"/>
    <n v="77.48"/>
    <x v="1"/>
    <x v="1"/>
    <x v="2"/>
    <n v="64"/>
  </r>
  <r>
    <n v="1039"/>
    <s v="Meghan Sanchez"/>
    <x v="44"/>
    <x v="1"/>
    <d v="2025-04-06T00:00:00"/>
    <d v="2024-08-05T00:00:00"/>
    <x v="791"/>
    <x v="2"/>
    <n v="316.24"/>
    <x v="0"/>
    <x v="1"/>
    <x v="4"/>
    <n v="244"/>
  </r>
  <r>
    <n v="1050"/>
    <s v="Amanda Johnston"/>
    <x v="28"/>
    <x v="0"/>
    <d v="2025-04-16T00:00:00"/>
    <d v="2024-10-24T00:00:00"/>
    <x v="792"/>
    <x v="0"/>
    <s v=""/>
    <x v="1"/>
    <x v="1"/>
    <x v="2"/>
    <n v="174"/>
  </r>
  <r>
    <n v="1056"/>
    <s v="Richard Jones"/>
    <x v="67"/>
    <x v="0"/>
    <d v="2025-11-23T00:00:00"/>
    <d v="2025-08-16T00:00:00"/>
    <x v="793"/>
    <x v="3"/>
    <n v="323.8"/>
    <x v="1"/>
    <x v="1"/>
    <x v="0"/>
    <n v="99"/>
  </r>
  <r>
    <n v="1025"/>
    <s v="Lindsay Harris"/>
    <x v="50"/>
    <x v="1"/>
    <d v="2025-10-26T00:00:00"/>
    <d v="2025-02-22T00:00:00"/>
    <x v="794"/>
    <x v="1"/>
    <n v="497.71"/>
    <x v="0"/>
    <x v="1"/>
    <x v="3"/>
    <n v="246"/>
  </r>
  <r>
    <n v="1037"/>
    <s v="Kathy Banks"/>
    <x v="45"/>
    <x v="1"/>
    <d v="2025-11-25T00:00:00"/>
    <d v="2025-07-26T00:00:00"/>
    <x v="795"/>
    <x v="3"/>
    <n v="3.51"/>
    <x v="0"/>
    <x v="1"/>
    <x v="5"/>
    <n v="122"/>
  </r>
  <r>
    <n v="1010"/>
    <s v="Beth Murphy"/>
    <x v="67"/>
    <x v="0"/>
    <d v="2025-06-30T00:00:00"/>
    <d v="2024-08-13T00:00:00"/>
    <x v="796"/>
    <x v="1"/>
    <n v="439.84"/>
    <x v="0"/>
    <x v="1"/>
    <x v="0"/>
    <n v="321"/>
  </r>
  <r>
    <n v="1039"/>
    <s v="Barbara Johnston"/>
    <x v="28"/>
    <x v="0"/>
    <d v="2025-07-29T00:00:00"/>
    <d v="2025-01-12T00:00:00"/>
    <x v="797"/>
    <x v="0"/>
    <n v="1.76"/>
    <x v="0"/>
    <x v="1"/>
    <x v="2"/>
    <n v="198"/>
  </r>
  <r>
    <n v="1040"/>
    <s v="Patrick Perez"/>
    <x v="40"/>
    <x v="1"/>
    <d v="2026-01-21T00:00:00"/>
    <d v="2024-12-13T00:00:00"/>
    <x v="798"/>
    <x v="2"/>
    <n v="290.14"/>
    <x v="0"/>
    <x v="0"/>
    <x v="1"/>
    <n v="404"/>
  </r>
  <r>
    <n v="1100"/>
    <s v="Sonia Moss"/>
    <x v="61"/>
    <x v="0"/>
    <d v="2025-11-06T00:00:00"/>
    <d v="2024-09-21T00:00:00"/>
    <x v="799"/>
    <x v="2"/>
    <n v="273.38"/>
    <x v="0"/>
    <x v="1"/>
    <x v="4"/>
    <n v="411"/>
  </r>
  <r>
    <n v="1071"/>
    <s v="Dana Mcclure"/>
    <x v="71"/>
    <x v="0"/>
    <d v="2026-03-02T00:00:00"/>
    <d v="2025-09-27T00:00:00"/>
    <x v="800"/>
    <x v="3"/>
    <n v="200.17"/>
    <x v="1"/>
    <x v="0"/>
    <x v="2"/>
    <n v="156"/>
  </r>
  <r>
    <n v="1097"/>
    <s v="Ryan Williams"/>
    <x v="19"/>
    <x v="0"/>
    <d v="2025-12-27T00:00:00"/>
    <d v="2024-12-25T00:00:00"/>
    <x v="801"/>
    <x v="3"/>
    <n v="398.47"/>
    <x v="0"/>
    <x v="1"/>
    <x v="6"/>
    <n v="367"/>
  </r>
  <r>
    <n v="1047"/>
    <s v="Amy Baird"/>
    <x v="69"/>
    <x v="1"/>
    <d v="2025-11-01T00:00:00"/>
    <d v="2025-09-28T00:00:00"/>
    <x v="802"/>
    <x v="2"/>
    <n v="348.67"/>
    <x v="0"/>
    <x v="1"/>
    <x v="4"/>
    <n v="34"/>
  </r>
  <r>
    <n v="1041"/>
    <s v="Frank Castaneda"/>
    <x v="11"/>
    <x v="1"/>
    <d v="2025-07-26T00:00:00"/>
    <d v="2024-09-02T00:00:00"/>
    <x v="803"/>
    <x v="2"/>
    <s v=""/>
    <x v="1"/>
    <x v="1"/>
    <x v="1"/>
    <n v="327"/>
  </r>
  <r>
    <n v="1067"/>
    <s v="Benjamin Ramirez"/>
    <x v="7"/>
    <x v="0"/>
    <d v="2025-12-22T00:00:00"/>
    <d v="2025-01-06T00:00:00"/>
    <x v="198"/>
    <x v="2"/>
    <n v="142.33000000000001"/>
    <x v="1"/>
    <x v="1"/>
    <x v="4"/>
    <n v="350"/>
  </r>
  <r>
    <n v="1064"/>
    <s v="Matthew Buckley"/>
    <x v="7"/>
    <x v="1"/>
    <d v="2025-09-07T00:00:00"/>
    <d v="2024-10-04T00:00:00"/>
    <x v="804"/>
    <x v="3"/>
    <n v="5.24"/>
    <x v="1"/>
    <x v="1"/>
    <x v="4"/>
    <n v="338"/>
  </r>
  <r>
    <n v="1008"/>
    <s v="Kimberly Goodman"/>
    <x v="6"/>
    <x v="0"/>
    <d v="2025-09-12T00:00:00"/>
    <d v="2024-09-20T00:00:00"/>
    <x v="805"/>
    <x v="3"/>
    <n v="393.16"/>
    <x v="0"/>
    <x v="1"/>
    <x v="3"/>
    <n v="357"/>
  </r>
  <r>
    <n v="1097"/>
    <s v="Brandi Osborn"/>
    <x v="24"/>
    <x v="0"/>
    <d v="2026-02-01T00:00:00"/>
    <d v="2025-12-31T00:00:00"/>
    <x v="806"/>
    <x v="2"/>
    <n v="98.38"/>
    <x v="1"/>
    <x v="0"/>
    <x v="2"/>
    <n v="32"/>
  </r>
  <r>
    <n v="1053"/>
    <s v="Christopher Lopez"/>
    <x v="45"/>
    <x v="1"/>
    <d v="2026-01-15T00:00:00"/>
    <d v="2025-11-11T00:00:00"/>
    <x v="807"/>
    <x v="3"/>
    <n v="295.70999999999998"/>
    <x v="1"/>
    <x v="0"/>
    <x v="5"/>
    <n v="65"/>
  </r>
  <r>
    <n v="1035"/>
    <s v="Ronnie Roach"/>
    <x v="28"/>
    <x v="0"/>
    <d v="2025-08-13T00:00:00"/>
    <d v="2025-05-25T00:00:00"/>
    <x v="808"/>
    <x v="0"/>
    <n v="1.84"/>
    <x v="0"/>
    <x v="1"/>
    <x v="2"/>
    <n v="80"/>
  </r>
  <r>
    <n v="1074"/>
    <s v="Gary Taylor"/>
    <x v="43"/>
    <x v="2"/>
    <d v="2025-05-19T00:00:00"/>
    <d v="2024-06-12T00:00:00"/>
    <x v="809"/>
    <x v="3"/>
    <n v="427.6"/>
    <x v="0"/>
    <x v="1"/>
    <x v="6"/>
    <n v="341"/>
  </r>
  <r>
    <n v="1015"/>
    <s v="Rodney Gonzalez"/>
    <x v="46"/>
    <x v="0"/>
    <d v="2025-07-04T00:00:00"/>
    <d v="2025-02-07T00:00:00"/>
    <x v="810"/>
    <x v="0"/>
    <n v="168.33"/>
    <x v="1"/>
    <x v="1"/>
    <x v="3"/>
    <n v="147"/>
  </r>
  <r>
    <n v="1071"/>
    <s v="Patrick Roach"/>
    <x v="19"/>
    <x v="0"/>
    <d v="2025-10-31T00:00:00"/>
    <d v="2025-06-23T00:00:00"/>
    <x v="811"/>
    <x v="0"/>
    <n v="461.16"/>
    <x v="0"/>
    <x v="1"/>
    <x v="6"/>
    <n v="130"/>
  </r>
  <r>
    <n v="1044"/>
    <s v="Sandra Rojas"/>
    <x v="58"/>
    <x v="1"/>
    <d v="2025-06-16T00:00:00"/>
    <d v="2025-03-07T00:00:00"/>
    <x v="812"/>
    <x v="0"/>
    <s v=""/>
    <x v="1"/>
    <x v="1"/>
    <x v="6"/>
    <n v="101"/>
  </r>
  <r>
    <n v="1038"/>
    <s v="Donna Stone"/>
    <x v="36"/>
    <x v="0"/>
    <d v="2026-02-20T00:00:00"/>
    <d v="2024-08-22T00:00:00"/>
    <x v="813"/>
    <x v="2"/>
    <n v="614.66"/>
    <x v="1"/>
    <x v="0"/>
    <x v="3"/>
    <n v="547"/>
  </r>
  <r>
    <n v="1001"/>
    <s v="Erik Davis"/>
    <x v="39"/>
    <x v="1"/>
    <d v="2025-05-30T00:00:00"/>
    <d v="2024-12-05T00:00:00"/>
    <x v="814"/>
    <x v="2"/>
    <s v=""/>
    <x v="0"/>
    <x v="1"/>
    <x v="3"/>
    <n v="176"/>
  </r>
  <r>
    <n v="1056"/>
    <s v="Brian Patel"/>
    <x v="66"/>
    <x v="2"/>
    <d v="2025-10-16T00:00:00"/>
    <d v="2024-09-13T00:00:00"/>
    <x v="815"/>
    <x v="1"/>
    <n v="139.65"/>
    <x v="1"/>
    <x v="1"/>
    <x v="5"/>
    <n v="398"/>
  </r>
  <r>
    <n v="1008"/>
    <s v="George Houston"/>
    <x v="67"/>
    <x v="2"/>
    <d v="2025-09-06T00:00:00"/>
    <d v="2024-05-21T00:00:00"/>
    <x v="816"/>
    <x v="2"/>
    <n v="144.91"/>
    <x v="1"/>
    <x v="1"/>
    <x v="0"/>
    <n v="473"/>
  </r>
  <r>
    <n v="1099"/>
    <s v="Mrs. Katherine Huber PhD"/>
    <x v="70"/>
    <x v="1"/>
    <d v="2025-05-09T00:00:00"/>
    <d v="2024-11-12T00:00:00"/>
    <x v="817"/>
    <x v="0"/>
    <n v="488.54"/>
    <x v="1"/>
    <x v="1"/>
    <x v="0"/>
    <n v="178"/>
  </r>
  <r>
    <n v="1060"/>
    <s v="Edward Russell"/>
    <x v="29"/>
    <x v="1"/>
    <d v="2025-10-17T00:00:00"/>
    <d v="2024-12-12T00:00:00"/>
    <x v="818"/>
    <x v="1"/>
    <n v="124.29"/>
    <x v="1"/>
    <x v="1"/>
    <x v="3"/>
    <n v="309"/>
  </r>
  <r>
    <n v="1080"/>
    <s v="Thomas Fleming"/>
    <x v="25"/>
    <x v="1"/>
    <d v="2025-06-04T00:00:00"/>
    <d v="2024-12-14T00:00:00"/>
    <x v="819"/>
    <x v="2"/>
    <n v="82.26"/>
    <x v="1"/>
    <x v="1"/>
    <x v="3"/>
    <n v="172"/>
  </r>
  <r>
    <n v="1056"/>
    <s v="Savannah Butler"/>
    <x v="29"/>
    <x v="0"/>
    <d v="2025-11-26T00:00:00"/>
    <d v="2025-04-17T00:00:00"/>
    <x v="820"/>
    <x v="2"/>
    <n v="340.47"/>
    <x v="1"/>
    <x v="1"/>
    <x v="3"/>
    <n v="223"/>
  </r>
  <r>
    <n v="1077"/>
    <s v="David Wilson"/>
    <x v="5"/>
    <x v="1"/>
    <d v="2026-01-09T00:00:00"/>
    <d v="2025-05-07T00:00:00"/>
    <x v="821"/>
    <x v="0"/>
    <n v="551.87"/>
    <x v="1"/>
    <x v="0"/>
    <x v="0"/>
    <n v="247"/>
  </r>
  <r>
    <n v="1036"/>
    <s v="Jacob Price"/>
    <x v="62"/>
    <x v="1"/>
    <d v="2025-06-14T00:00:00"/>
    <d v="2024-04-27T00:00:00"/>
    <x v="822"/>
    <x v="2"/>
    <n v="266.62"/>
    <x v="0"/>
    <x v="1"/>
    <x v="3"/>
    <n v="413"/>
  </r>
  <r>
    <n v="1050"/>
    <s v="Brian Davis"/>
    <x v="71"/>
    <x v="0"/>
    <d v="2026-02-07T00:00:00"/>
    <d v="2025-05-27T00:00:00"/>
    <x v="823"/>
    <x v="1"/>
    <n v="0.7"/>
    <x v="0"/>
    <x v="0"/>
    <x v="2"/>
    <n v="256"/>
  </r>
  <r>
    <n v="1003"/>
    <s v="Kendra Jones"/>
    <x v="49"/>
    <x v="0"/>
    <d v="2025-07-30T00:00:00"/>
    <d v="2024-10-14T00:00:00"/>
    <x v="824"/>
    <x v="0"/>
    <n v="101.59"/>
    <x v="0"/>
    <x v="1"/>
    <x v="6"/>
    <n v="289"/>
  </r>
  <r>
    <n v="1042"/>
    <s v="Anthony Medina"/>
    <x v="47"/>
    <x v="0"/>
    <d v="2025-03-28T00:00:00"/>
    <d v="2024-11-14T00:00:00"/>
    <x v="825"/>
    <x v="1"/>
    <n v="498.48"/>
    <x v="0"/>
    <x v="1"/>
    <x v="4"/>
    <n v="134"/>
  </r>
  <r>
    <n v="1019"/>
    <s v="Desiree Wilkins"/>
    <x v="21"/>
    <x v="0"/>
    <d v="2026-02-28T00:00:00"/>
    <d v="2025-07-31T00:00:00"/>
    <x v="826"/>
    <x v="3"/>
    <n v="305.83999999999997"/>
    <x v="0"/>
    <x v="0"/>
    <x v="5"/>
    <n v="212"/>
  </r>
  <r>
    <n v="1073"/>
    <s v="Ashley Cunningham"/>
    <x v="20"/>
    <x v="0"/>
    <d v="2026-01-22T00:00:00"/>
    <d v="2024-11-29T00:00:00"/>
    <x v="827"/>
    <x v="0"/>
    <n v="1.76"/>
    <x v="0"/>
    <x v="0"/>
    <x v="5"/>
    <n v="419"/>
  </r>
  <r>
    <n v="1027"/>
    <s v="Abigail Townsend"/>
    <x v="8"/>
    <x v="0"/>
    <d v="2025-12-10T00:00:00"/>
    <d v="2025-03-08T00:00:00"/>
    <x v="828"/>
    <x v="1"/>
    <n v="406.61"/>
    <x v="0"/>
    <x v="1"/>
    <x v="4"/>
    <n v="277"/>
  </r>
  <r>
    <n v="1004"/>
    <s v="Diana Collins"/>
    <x v="3"/>
    <x v="0"/>
    <d v="2025-11-25T00:00:00"/>
    <d v="2024-10-06T00:00:00"/>
    <x v="829"/>
    <x v="0"/>
    <n v="477.9"/>
    <x v="1"/>
    <x v="1"/>
    <x v="2"/>
    <n v="415"/>
  </r>
  <r>
    <n v="1077"/>
    <s v="William Roberts Jr."/>
    <x v="46"/>
    <x v="0"/>
    <d v="2025-08-17T00:00:00"/>
    <d v="2024-07-02T00:00:00"/>
    <x v="830"/>
    <x v="1"/>
    <n v="315.17"/>
    <x v="1"/>
    <x v="1"/>
    <x v="3"/>
    <n v="411"/>
  </r>
  <r>
    <n v="1085"/>
    <s v="Sean Bailey"/>
    <x v="49"/>
    <x v="0"/>
    <d v="2025-09-06T00:00:00"/>
    <d v="2025-02-27T00:00:00"/>
    <x v="831"/>
    <x v="2"/>
    <n v="425.49"/>
    <x v="0"/>
    <x v="1"/>
    <x v="6"/>
    <n v="191"/>
  </r>
  <r>
    <n v="1025"/>
    <s v="Adrian Vincent"/>
    <x v="24"/>
    <x v="2"/>
    <d v="2025-09-21T00:00:00"/>
    <d v="2024-12-05T00:00:00"/>
    <x v="832"/>
    <x v="1"/>
    <n v="468.17"/>
    <x v="1"/>
    <x v="1"/>
    <x v="2"/>
    <n v="290"/>
  </r>
  <r>
    <n v="1029"/>
    <s v="John Walsh"/>
    <x v="41"/>
    <x v="1"/>
    <d v="2025-08-13T00:00:00"/>
    <d v="2024-09-03T00:00:00"/>
    <x v="833"/>
    <x v="1"/>
    <n v="117.78"/>
    <x v="1"/>
    <x v="1"/>
    <x v="1"/>
    <n v="344"/>
  </r>
  <r>
    <n v="1052"/>
    <s v="Christopher Johnson"/>
    <x v="29"/>
    <x v="0"/>
    <d v="2025-10-31T00:00:00"/>
    <d v="2025-03-22T00:00:00"/>
    <x v="834"/>
    <x v="2"/>
    <n v="461.18"/>
    <x v="0"/>
    <x v="1"/>
    <x v="3"/>
    <n v="223"/>
  </r>
  <r>
    <n v="1062"/>
    <s v="Roger Holmes"/>
    <x v="49"/>
    <x v="0"/>
    <d v="2026-02-04T00:00:00"/>
    <d v="2024-12-22T00:00:00"/>
    <x v="835"/>
    <x v="0"/>
    <n v="2.27"/>
    <x v="0"/>
    <x v="0"/>
    <x v="6"/>
    <n v="409"/>
  </r>
  <r>
    <n v="1014"/>
    <s v="Michael Hamilton"/>
    <x v="36"/>
    <x v="0"/>
    <d v="2025-09-03T00:00:00"/>
    <d v="2024-07-27T00:00:00"/>
    <x v="836"/>
    <x v="3"/>
    <n v="142.76"/>
    <x v="1"/>
    <x v="1"/>
    <x v="3"/>
    <n v="403"/>
  </r>
  <r>
    <n v="1056"/>
    <s v="Courtney Gonzales"/>
    <x v="32"/>
    <x v="0"/>
    <d v="2025-05-26T00:00:00"/>
    <d v="2024-10-31T00:00:00"/>
    <x v="837"/>
    <x v="0"/>
    <n v="385.01"/>
    <x v="1"/>
    <x v="1"/>
    <x v="6"/>
    <n v="207"/>
  </r>
  <r>
    <n v="1073"/>
    <s v="Leslie Medina"/>
    <x v="25"/>
    <x v="0"/>
    <d v="2025-08-17T00:00:00"/>
    <d v="2025-06-25T00:00:00"/>
    <x v="838"/>
    <x v="1"/>
    <n v="652.94000000000005"/>
    <x v="0"/>
    <x v="1"/>
    <x v="3"/>
    <n v="53"/>
  </r>
  <r>
    <n v="1009"/>
    <s v="Frank Fields"/>
    <x v="39"/>
    <x v="0"/>
    <d v="2025-06-27T00:00:00"/>
    <d v="2025-05-21T00:00:00"/>
    <x v="839"/>
    <x v="3"/>
    <n v="168.86"/>
    <x v="0"/>
    <x v="1"/>
    <x v="3"/>
    <n v="37"/>
  </r>
  <r>
    <n v="1029"/>
    <s v="Darren Douglas"/>
    <x v="13"/>
    <x v="0"/>
    <d v="2026-02-01T00:00:00"/>
    <d v="2025-09-04T00:00:00"/>
    <x v="840"/>
    <x v="1"/>
    <n v="463.06"/>
    <x v="0"/>
    <x v="0"/>
    <x v="3"/>
    <n v="150"/>
  </r>
  <r>
    <n v="1047"/>
    <s v="Jerry Jones"/>
    <x v="15"/>
    <x v="1"/>
    <d v="2025-08-21T00:00:00"/>
    <d v="2024-06-05T00:00:00"/>
    <x v="841"/>
    <x v="3"/>
    <n v="261.87"/>
    <x v="1"/>
    <x v="1"/>
    <x v="1"/>
    <n v="442"/>
  </r>
  <r>
    <n v="1091"/>
    <s v="Sheila Barrett"/>
    <x v="62"/>
    <x v="1"/>
    <d v="2025-11-19T00:00:00"/>
    <d v="2025-11-15T00:00:00"/>
    <x v="842"/>
    <x v="0"/>
    <n v="1.88"/>
    <x v="1"/>
    <x v="1"/>
    <x v="3"/>
    <n v="4"/>
  </r>
  <r>
    <n v="1026"/>
    <s v="Kim Morris"/>
    <x v="18"/>
    <x v="0"/>
    <d v="2025-12-20T00:00:00"/>
    <d v="2025-06-24T00:00:00"/>
    <x v="843"/>
    <x v="3"/>
    <n v="197.66"/>
    <x v="1"/>
    <x v="1"/>
    <x v="4"/>
    <n v="179"/>
  </r>
  <r>
    <n v="1075"/>
    <s v="Sarah Rivas"/>
    <x v="49"/>
    <x v="0"/>
    <d v="2026-03-09T00:00:00"/>
    <d v="2025-03-18T00:00:00"/>
    <x v="844"/>
    <x v="2"/>
    <n v="604.13"/>
    <x v="1"/>
    <x v="0"/>
    <x v="6"/>
    <n v="356"/>
  </r>
  <r>
    <n v="1089"/>
    <s v="Adam Lane"/>
    <x v="0"/>
    <x v="0"/>
    <d v="2026-03-21T00:00:00"/>
    <d v="2024-09-20T00:00:00"/>
    <x v="845"/>
    <x v="2"/>
    <n v="116.82"/>
    <x v="0"/>
    <x v="0"/>
    <x v="0"/>
    <n v="547"/>
  </r>
  <r>
    <n v="1031"/>
    <s v="Ronald Taylor"/>
    <x v="63"/>
    <x v="1"/>
    <d v="2025-08-27T00:00:00"/>
    <d v="2024-05-11T00:00:00"/>
    <x v="846"/>
    <x v="2"/>
    <n v="263.10000000000002"/>
    <x v="0"/>
    <x v="1"/>
    <x v="2"/>
    <n v="473"/>
  </r>
  <r>
    <n v="1082"/>
    <s v="Angela Smith"/>
    <x v="69"/>
    <x v="1"/>
    <d v="2025-09-02T00:00:00"/>
    <d v="2025-08-15T00:00:00"/>
    <x v="847"/>
    <x v="1"/>
    <n v="305.16000000000003"/>
    <x v="1"/>
    <x v="1"/>
    <x v="4"/>
    <n v="18"/>
  </r>
  <r>
    <n v="1022"/>
    <s v="Chad Tyler"/>
    <x v="72"/>
    <x v="0"/>
    <d v="2026-02-02T00:00:00"/>
    <d v="2025-01-08T00:00:00"/>
    <x v="848"/>
    <x v="2"/>
    <n v="564.62"/>
    <x v="0"/>
    <x v="0"/>
    <x v="6"/>
    <n v="390"/>
  </r>
  <r>
    <n v="1063"/>
    <s v="Mary Manning"/>
    <x v="42"/>
    <x v="0"/>
    <d v="2026-01-23T00:00:00"/>
    <d v="2025-10-13T00:00:00"/>
    <x v="849"/>
    <x v="1"/>
    <n v="248.84"/>
    <x v="1"/>
    <x v="0"/>
    <x v="2"/>
    <n v="102"/>
  </r>
  <r>
    <n v="1009"/>
    <s v="Samantha Hoffman"/>
    <x v="31"/>
    <x v="1"/>
    <d v="2025-07-23T00:00:00"/>
    <d v="2025-03-14T00:00:00"/>
    <x v="850"/>
    <x v="0"/>
    <n v="89.38"/>
    <x v="1"/>
    <x v="1"/>
    <x v="5"/>
    <n v="131"/>
  </r>
  <r>
    <n v="1079"/>
    <s v="Shawn Juarez"/>
    <x v="38"/>
    <x v="1"/>
    <d v="2025-08-02T00:00:00"/>
    <d v="2025-05-31T00:00:00"/>
    <x v="851"/>
    <x v="2"/>
    <n v="124.1"/>
    <x v="0"/>
    <x v="1"/>
    <x v="1"/>
    <n v="63"/>
  </r>
  <r>
    <n v="1001"/>
    <s v="Dave Summers"/>
    <x v="62"/>
    <x v="0"/>
    <d v="2026-02-09T00:00:00"/>
    <d v="2025-01-19T00:00:00"/>
    <x v="852"/>
    <x v="1"/>
    <n v="217.51"/>
    <x v="0"/>
    <x v="0"/>
    <x v="3"/>
    <n v="386"/>
  </r>
  <r>
    <n v="1022"/>
    <s v="Luke Brady"/>
    <x v="5"/>
    <x v="1"/>
    <d v="2025-10-09T00:00:00"/>
    <d v="2025-06-24T00:00:00"/>
    <x v="853"/>
    <x v="3"/>
    <n v="479.34"/>
    <x v="0"/>
    <x v="1"/>
    <x v="0"/>
    <n v="107"/>
  </r>
  <r>
    <n v="1008"/>
    <s v="Christian Guerrero"/>
    <x v="60"/>
    <x v="0"/>
    <d v="2026-01-07T00:00:00"/>
    <d v="2024-06-29T00:00:00"/>
    <x v="854"/>
    <x v="0"/>
    <n v="298.89"/>
    <x v="0"/>
    <x v="0"/>
    <x v="0"/>
    <n v="557"/>
  </r>
  <r>
    <n v="1100"/>
    <s v="Terrence Long"/>
    <x v="28"/>
    <x v="1"/>
    <d v="2026-02-01T00:00:00"/>
    <d v="2025-06-27T00:00:00"/>
    <x v="855"/>
    <x v="0"/>
    <n v="243"/>
    <x v="0"/>
    <x v="0"/>
    <x v="2"/>
    <n v="219"/>
  </r>
  <r>
    <n v="1074"/>
    <s v="Victor Everett"/>
    <x v="17"/>
    <x v="0"/>
    <d v="2025-11-05T00:00:00"/>
    <d v="2024-06-06T00:00:00"/>
    <x v="856"/>
    <x v="3"/>
    <n v="392.13"/>
    <x v="1"/>
    <x v="1"/>
    <x v="6"/>
    <n v="517"/>
  </r>
  <r>
    <n v="1037"/>
    <s v="Amanda Stevenson"/>
    <x v="29"/>
    <x v="1"/>
    <d v="2026-01-17T00:00:00"/>
    <d v="2024-06-28T00:00:00"/>
    <x v="857"/>
    <x v="3"/>
    <n v="177.98"/>
    <x v="1"/>
    <x v="0"/>
    <x v="3"/>
    <n v="568"/>
  </r>
  <r>
    <n v="1094"/>
    <s v="Vanessa Perkins"/>
    <x v="6"/>
    <x v="0"/>
    <d v="2026-03-16T00:00:00"/>
    <d v="2024-11-26T00:00:00"/>
    <x v="858"/>
    <x v="1"/>
    <n v="609.05999999999995"/>
    <x v="0"/>
    <x v="0"/>
    <x v="3"/>
    <n v="475"/>
  </r>
  <r>
    <n v="1066"/>
    <s v="Michael Davis"/>
    <x v="12"/>
    <x v="0"/>
    <d v="2026-01-11T00:00:00"/>
    <d v="2025-09-30T00:00:00"/>
    <x v="859"/>
    <x v="0"/>
    <n v="146.61000000000001"/>
    <x v="1"/>
    <x v="0"/>
    <x v="5"/>
    <n v="103"/>
  </r>
  <r>
    <n v="1084"/>
    <s v="Amy Pierce"/>
    <x v="58"/>
    <x v="0"/>
    <d v="2025-07-27T00:00:00"/>
    <d v="2025-03-28T00:00:00"/>
    <x v="860"/>
    <x v="1"/>
    <n v="318.44"/>
    <x v="1"/>
    <x v="1"/>
    <x v="6"/>
    <n v="121"/>
  </r>
  <r>
    <n v="1008"/>
    <s v="Dakota Kelly"/>
    <x v="64"/>
    <x v="0"/>
    <d v="2025-10-07T00:00:00"/>
    <d v="2024-11-17T00:00:00"/>
    <x v="861"/>
    <x v="2"/>
    <n v="3.21"/>
    <x v="1"/>
    <x v="1"/>
    <x v="2"/>
    <n v="324"/>
  </r>
  <r>
    <n v="1039"/>
    <s v="Erin Williams"/>
    <x v="1"/>
    <x v="0"/>
    <d v="2026-02-04T00:00:00"/>
    <d v="2024-10-17T00:00:00"/>
    <x v="862"/>
    <x v="0"/>
    <n v="161.56"/>
    <x v="0"/>
    <x v="0"/>
    <x v="1"/>
    <n v="475"/>
  </r>
  <r>
    <n v="1092"/>
    <s v="Tiffany Cooper"/>
    <x v="44"/>
    <x v="1"/>
    <d v="2025-07-05T00:00:00"/>
    <d v="2025-05-16T00:00:00"/>
    <x v="863"/>
    <x v="3"/>
    <n v="89.38"/>
    <x v="0"/>
    <x v="1"/>
    <x v="4"/>
    <n v="50"/>
  </r>
  <r>
    <n v="1023"/>
    <s v="Jerry White"/>
    <x v="0"/>
    <x v="1"/>
    <d v="2025-08-19T00:00:00"/>
    <d v="2025-08-15T00:00:00"/>
    <x v="864"/>
    <x v="3"/>
    <n v="1.67"/>
    <x v="0"/>
    <x v="1"/>
    <x v="0"/>
    <n v="4"/>
  </r>
  <r>
    <n v="1004"/>
    <s v="Joseph Pace"/>
    <x v="27"/>
    <x v="1"/>
    <d v="2025-11-20T00:00:00"/>
    <d v="2025-08-02T00:00:00"/>
    <x v="865"/>
    <x v="2"/>
    <n v="3.72"/>
    <x v="0"/>
    <x v="1"/>
    <x v="1"/>
    <n v="110"/>
  </r>
  <r>
    <n v="1056"/>
    <s v="Jean Kramer"/>
    <x v="39"/>
    <x v="2"/>
    <d v="2025-05-29T00:00:00"/>
    <d v="2024-05-31T00:00:00"/>
    <x v="866"/>
    <x v="1"/>
    <n v="494.95"/>
    <x v="0"/>
    <x v="1"/>
    <x v="3"/>
    <n v="363"/>
  </r>
  <r>
    <n v="1077"/>
    <s v="David Rose"/>
    <x v="5"/>
    <x v="1"/>
    <d v="2025-11-09T00:00:00"/>
    <d v="2025-07-14T00:00:00"/>
    <x v="867"/>
    <x v="1"/>
    <n v="1.26"/>
    <x v="0"/>
    <x v="1"/>
    <x v="0"/>
    <n v="118"/>
  </r>
  <r>
    <n v="1081"/>
    <s v="Christopher Lopez"/>
    <x v="4"/>
    <x v="1"/>
    <d v="2026-03-21T00:00:00"/>
    <d v="2024-05-04T00:00:00"/>
    <x v="868"/>
    <x v="3"/>
    <n v="539.42999999999995"/>
    <x v="0"/>
    <x v="0"/>
    <x v="2"/>
    <n v="686"/>
  </r>
  <r>
    <n v="1078"/>
    <s v="James Gibbs"/>
    <x v="62"/>
    <x v="0"/>
    <d v="2025-11-16T00:00:00"/>
    <d v="2024-09-22T00:00:00"/>
    <x v="869"/>
    <x v="0"/>
    <n v="368.56"/>
    <x v="1"/>
    <x v="1"/>
    <x v="3"/>
    <n v="420"/>
  </r>
  <r>
    <n v="1054"/>
    <s v="Lori Henderson"/>
    <x v="34"/>
    <x v="0"/>
    <d v="2025-06-05T00:00:00"/>
    <d v="2024-12-19T00:00:00"/>
    <x v="870"/>
    <x v="3"/>
    <n v="5.46"/>
    <x v="1"/>
    <x v="1"/>
    <x v="2"/>
    <n v="168"/>
  </r>
  <r>
    <n v="1085"/>
    <s v="Benjamin Lewis"/>
    <x v="49"/>
    <x v="1"/>
    <d v="2026-01-09T00:00:00"/>
    <d v="2025-05-03T00:00:00"/>
    <x v="871"/>
    <x v="0"/>
    <n v="238.75"/>
    <x v="1"/>
    <x v="0"/>
    <x v="6"/>
    <n v="251"/>
  </r>
  <r>
    <n v="1028"/>
    <s v="Matthew Johnson"/>
    <x v="6"/>
    <x v="1"/>
    <d v="2025-12-17T00:00:00"/>
    <d v="2025-08-06T00:00:00"/>
    <x v="872"/>
    <x v="1"/>
    <n v="168.17"/>
    <x v="1"/>
    <x v="1"/>
    <x v="3"/>
    <n v="133"/>
  </r>
  <r>
    <n v="1048"/>
    <s v="Karen Myers"/>
    <x v="72"/>
    <x v="0"/>
    <d v="2025-07-20T00:00:00"/>
    <d v="2024-06-12T00:00:00"/>
    <x v="873"/>
    <x v="2"/>
    <n v="416.29"/>
    <x v="1"/>
    <x v="1"/>
    <x v="6"/>
    <n v="403"/>
  </r>
  <r>
    <n v="1008"/>
    <s v="Shelly Chavez"/>
    <x v="21"/>
    <x v="0"/>
    <d v="2025-10-10T00:00:00"/>
    <d v="2025-05-02T00:00:00"/>
    <x v="874"/>
    <x v="2"/>
    <n v="431.45"/>
    <x v="1"/>
    <x v="1"/>
    <x v="5"/>
    <n v="161"/>
  </r>
  <r>
    <n v="1002"/>
    <s v="Maria Williams"/>
    <x v="6"/>
    <x v="1"/>
    <d v="2025-08-17T00:00:00"/>
    <d v="2025-01-05T00:00:00"/>
    <x v="875"/>
    <x v="1"/>
    <n v="251.6"/>
    <x v="1"/>
    <x v="1"/>
    <x v="3"/>
    <n v="224"/>
  </r>
  <r>
    <n v="1013"/>
    <s v="Robert Humphrey"/>
    <x v="54"/>
    <x v="2"/>
    <d v="2025-04-10T00:00:00"/>
    <d v="2025-03-22T00:00:00"/>
    <x v="876"/>
    <x v="1"/>
    <n v="281.70999999999998"/>
    <x v="1"/>
    <x v="1"/>
    <x v="3"/>
    <n v="19"/>
  </r>
  <r>
    <n v="1032"/>
    <s v="Matthew Gutierrez"/>
    <x v="46"/>
    <x v="1"/>
    <d v="2026-02-08T00:00:00"/>
    <d v="2025-05-14T00:00:00"/>
    <x v="877"/>
    <x v="3"/>
    <n v="346.43"/>
    <x v="1"/>
    <x v="0"/>
    <x v="3"/>
    <n v="270"/>
  </r>
  <r>
    <n v="1074"/>
    <s v="Rebecca Banks"/>
    <x v="13"/>
    <x v="1"/>
    <d v="2025-05-26T00:00:00"/>
    <d v="2025-01-17T00:00:00"/>
    <x v="878"/>
    <x v="2"/>
    <n v="0.63"/>
    <x v="0"/>
    <x v="1"/>
    <x v="3"/>
    <n v="129"/>
  </r>
  <r>
    <n v="1025"/>
    <s v="Ashley Rodriguez"/>
    <x v="61"/>
    <x v="0"/>
    <d v="2025-06-05T00:00:00"/>
    <d v="2024-11-06T00:00:00"/>
    <x v="879"/>
    <x v="1"/>
    <n v="2.42"/>
    <x v="1"/>
    <x v="1"/>
    <x v="4"/>
    <n v="211"/>
  </r>
  <r>
    <n v="1040"/>
    <s v="Laura Ford"/>
    <x v="12"/>
    <x v="2"/>
    <d v="2025-05-27T00:00:00"/>
    <d v="2024-12-02T00:00:00"/>
    <x v="880"/>
    <x v="1"/>
    <n v="248.06"/>
    <x v="1"/>
    <x v="1"/>
    <x v="5"/>
    <n v="176"/>
  </r>
  <r>
    <n v="1089"/>
    <s v="James Stout"/>
    <x v="22"/>
    <x v="1"/>
    <d v="2025-10-03T00:00:00"/>
    <d v="2025-07-30T00:00:00"/>
    <x v="881"/>
    <x v="2"/>
    <n v="86.3"/>
    <x v="1"/>
    <x v="1"/>
    <x v="3"/>
    <n v="65"/>
  </r>
  <r>
    <n v="1069"/>
    <s v="Ashley Foster"/>
    <x v="20"/>
    <x v="0"/>
    <d v="2026-02-23T00:00:00"/>
    <d v="2025-01-14T00:00:00"/>
    <x v="882"/>
    <x v="3"/>
    <n v="277.60000000000002"/>
    <x v="0"/>
    <x v="0"/>
    <x v="5"/>
    <n v="405"/>
  </r>
  <r>
    <n v="1070"/>
    <s v="Christian Thomas"/>
    <x v="48"/>
    <x v="1"/>
    <d v="2025-07-06T00:00:00"/>
    <d v="2025-04-23T00:00:00"/>
    <x v="883"/>
    <x v="2"/>
    <n v="518.91"/>
    <x v="0"/>
    <x v="1"/>
    <x v="5"/>
    <n v="74"/>
  </r>
  <r>
    <n v="1070"/>
    <s v="Stacy Gardner"/>
    <x v="55"/>
    <x v="2"/>
    <d v="2026-01-18T00:00:00"/>
    <d v="2025-03-11T00:00:00"/>
    <x v="884"/>
    <x v="2"/>
    <n v="99.46"/>
    <x v="0"/>
    <x v="0"/>
    <x v="4"/>
    <n v="313"/>
  </r>
  <r>
    <n v="1077"/>
    <s v="Taylor Patterson"/>
    <x v="44"/>
    <x v="0"/>
    <d v="2026-03-25T00:00:00"/>
    <d v="2025-10-24T00:00:00"/>
    <x v="885"/>
    <x v="2"/>
    <n v="199.03"/>
    <x v="1"/>
    <x v="0"/>
    <x v="4"/>
    <n v="152"/>
  </r>
  <r>
    <n v="1082"/>
    <s v="Justin Zimmerman"/>
    <x v="10"/>
    <x v="1"/>
    <d v="2025-11-05T00:00:00"/>
    <d v="2025-09-20T00:00:00"/>
    <x v="886"/>
    <x v="0"/>
    <n v="325.97000000000003"/>
    <x v="1"/>
    <x v="1"/>
    <x v="1"/>
    <n v="46"/>
  </r>
  <r>
    <n v="1053"/>
    <s v="Jaclyn Knight"/>
    <x v="15"/>
    <x v="0"/>
    <d v="2025-08-24T00:00:00"/>
    <d v="2024-05-19T00:00:00"/>
    <x v="887"/>
    <x v="1"/>
    <n v="375.1"/>
    <x v="1"/>
    <x v="1"/>
    <x v="1"/>
    <n v="462"/>
  </r>
  <r>
    <n v="1083"/>
    <s v="Jessica Rodriguez"/>
    <x v="25"/>
    <x v="1"/>
    <d v="2025-04-21T00:00:00"/>
    <d v="2024-09-04T00:00:00"/>
    <x v="888"/>
    <x v="2"/>
    <n v="4.53"/>
    <x v="0"/>
    <x v="1"/>
    <x v="3"/>
    <n v="229"/>
  </r>
  <r>
    <n v="1096"/>
    <s v="Patricia Johnson DDS"/>
    <x v="11"/>
    <x v="1"/>
    <d v="2025-06-12T00:00:00"/>
    <d v="2024-11-27T00:00:00"/>
    <x v="889"/>
    <x v="2"/>
    <n v="192.7"/>
    <x v="0"/>
    <x v="1"/>
    <x v="1"/>
    <n v="197"/>
  </r>
  <r>
    <n v="1043"/>
    <s v="Alexandra Sandoval"/>
    <x v="52"/>
    <x v="1"/>
    <d v="2025-11-21T00:00:00"/>
    <d v="2025-08-16T00:00:00"/>
    <x v="890"/>
    <x v="2"/>
    <n v="2.19"/>
    <x v="1"/>
    <x v="1"/>
    <x v="5"/>
    <n v="97"/>
  </r>
  <r>
    <n v="1058"/>
    <s v="Mandy Smith"/>
    <x v="38"/>
    <x v="1"/>
    <d v="2025-04-14T00:00:00"/>
    <d v="2025-02-04T00:00:00"/>
    <x v="891"/>
    <x v="2"/>
    <n v="2.71"/>
    <x v="0"/>
    <x v="1"/>
    <x v="1"/>
    <n v="69"/>
  </r>
  <r>
    <n v="1080"/>
    <s v="Danny Cooper"/>
    <x v="46"/>
    <x v="1"/>
    <d v="2025-04-27T00:00:00"/>
    <d v="2025-03-13T00:00:00"/>
    <x v="892"/>
    <x v="2"/>
    <n v="184.16"/>
    <x v="0"/>
    <x v="1"/>
    <x v="3"/>
    <n v="45"/>
  </r>
  <r>
    <n v="1097"/>
    <s v="Dr. Christina Dunn"/>
    <x v="69"/>
    <x v="0"/>
    <d v="2025-09-11T00:00:00"/>
    <d v="2024-06-13T00:00:00"/>
    <x v="893"/>
    <x v="3"/>
    <n v="4.2"/>
    <x v="1"/>
    <x v="1"/>
    <x v="4"/>
    <n v="455"/>
  </r>
  <r>
    <n v="1054"/>
    <s v="Rachel Porter"/>
    <x v="36"/>
    <x v="1"/>
    <d v="2025-05-17T00:00:00"/>
    <d v="2024-10-06T00:00:00"/>
    <x v="894"/>
    <x v="2"/>
    <n v="382.39"/>
    <x v="1"/>
    <x v="1"/>
    <x v="3"/>
    <n v="223"/>
  </r>
  <r>
    <n v="1075"/>
    <s v="Megan Williams"/>
    <x v="69"/>
    <x v="1"/>
    <d v="2025-12-11T00:00:00"/>
    <d v="2025-10-19T00:00:00"/>
    <x v="895"/>
    <x v="2"/>
    <n v="5.0199999999999996"/>
    <x v="1"/>
    <x v="1"/>
    <x v="4"/>
    <n v="53"/>
  </r>
  <r>
    <n v="1036"/>
    <s v="Michelle Hill"/>
    <x v="26"/>
    <x v="1"/>
    <d v="2025-12-08T00:00:00"/>
    <d v="2024-04-07T00:00:00"/>
    <x v="896"/>
    <x v="3"/>
    <n v="4.09"/>
    <x v="0"/>
    <x v="1"/>
    <x v="6"/>
    <n v="610"/>
  </r>
  <r>
    <n v="1064"/>
    <s v="Donna Green"/>
    <x v="5"/>
    <x v="0"/>
    <d v="2026-01-14T00:00:00"/>
    <d v="2025-05-07T00:00:00"/>
    <x v="897"/>
    <x v="1"/>
    <n v="294.82"/>
    <x v="1"/>
    <x v="0"/>
    <x v="0"/>
    <n v="252"/>
  </r>
  <r>
    <n v="1015"/>
    <s v="Leon Anderson"/>
    <x v="41"/>
    <x v="1"/>
    <d v="2025-11-28T00:00:00"/>
    <d v="2024-09-24T00:00:00"/>
    <x v="898"/>
    <x v="2"/>
    <n v="427.62"/>
    <x v="0"/>
    <x v="1"/>
    <x v="1"/>
    <n v="430"/>
  </r>
  <r>
    <n v="1045"/>
    <s v="Cheryl Ruiz"/>
    <x v="15"/>
    <x v="1"/>
    <d v="2025-05-23T00:00:00"/>
    <d v="2024-04-29T00:00:00"/>
    <x v="899"/>
    <x v="1"/>
    <n v="134.04"/>
    <x v="0"/>
    <x v="1"/>
    <x v="1"/>
    <n v="389"/>
  </r>
  <r>
    <n v="1016"/>
    <s v="Keith Douglas"/>
    <x v="37"/>
    <x v="1"/>
    <d v="2025-09-16T00:00:00"/>
    <d v="2025-05-02T00:00:00"/>
    <x v="900"/>
    <x v="1"/>
    <s v=""/>
    <x v="1"/>
    <x v="1"/>
    <x v="2"/>
    <n v="137"/>
  </r>
  <r>
    <n v="1006"/>
    <s v="Christina Spencer"/>
    <x v="10"/>
    <x v="1"/>
    <d v="2025-11-14T00:00:00"/>
    <d v="2024-05-10T00:00:00"/>
    <x v="901"/>
    <x v="1"/>
    <n v="410.01"/>
    <x v="1"/>
    <x v="1"/>
    <x v="1"/>
    <n v="553"/>
  </r>
  <r>
    <n v="1058"/>
    <s v="April Rios"/>
    <x v="39"/>
    <x v="0"/>
    <d v="2026-02-26T00:00:00"/>
    <d v="2026-02-07T00:00:00"/>
    <x v="902"/>
    <x v="3"/>
    <n v="527.86"/>
    <x v="1"/>
    <x v="0"/>
    <x v="3"/>
    <n v="19"/>
  </r>
  <r>
    <n v="1050"/>
    <s v="Mallory Martin"/>
    <x v="13"/>
    <x v="1"/>
    <d v="2025-10-27T00:00:00"/>
    <d v="2025-06-22T00:00:00"/>
    <x v="903"/>
    <x v="0"/>
    <n v="4.82"/>
    <x v="0"/>
    <x v="1"/>
    <x v="3"/>
    <n v="127"/>
  </r>
  <r>
    <n v="1016"/>
    <s v="Elizabeth Johnson"/>
    <x v="43"/>
    <x v="0"/>
    <d v="2026-01-24T00:00:00"/>
    <d v="2024-12-09T00:00:00"/>
    <x v="904"/>
    <x v="3"/>
    <n v="5.07"/>
    <x v="0"/>
    <x v="0"/>
    <x v="6"/>
    <n v="411"/>
  </r>
  <r>
    <n v="1014"/>
    <s v="Ellen Rogers"/>
    <x v="52"/>
    <x v="0"/>
    <d v="2025-08-30T00:00:00"/>
    <d v="2025-01-17T00:00:00"/>
    <x v="905"/>
    <x v="3"/>
    <n v="475.07"/>
    <x v="0"/>
    <x v="1"/>
    <x v="5"/>
    <n v="225"/>
  </r>
  <r>
    <n v="1070"/>
    <s v="Kenneth Jenkins"/>
    <x v="37"/>
    <x v="0"/>
    <d v="2025-05-20T00:00:00"/>
    <d v="2024-09-12T00:00:00"/>
    <x v="906"/>
    <x v="3"/>
    <n v="480.14"/>
    <x v="0"/>
    <x v="1"/>
    <x v="2"/>
    <n v="250"/>
  </r>
  <r>
    <n v="1068"/>
    <s v="Duane Mitchell"/>
    <x v="61"/>
    <x v="0"/>
    <d v="2026-01-12T00:00:00"/>
    <d v="2024-09-08T00:00:00"/>
    <x v="907"/>
    <x v="2"/>
    <n v="178.2"/>
    <x v="1"/>
    <x v="0"/>
    <x v="4"/>
    <n v="491"/>
  </r>
  <r>
    <n v="1088"/>
    <s v="Mr. Paul Chavez"/>
    <x v="53"/>
    <x v="1"/>
    <d v="2025-07-23T00:00:00"/>
    <d v="2025-02-04T00:00:00"/>
    <x v="908"/>
    <x v="2"/>
    <n v="159.06"/>
    <x v="0"/>
    <x v="1"/>
    <x v="1"/>
    <n v="169"/>
  </r>
  <r>
    <n v="1012"/>
    <s v="Ian Weaver"/>
    <x v="25"/>
    <x v="0"/>
    <d v="2026-01-19T00:00:00"/>
    <d v="2025-06-01T00:00:00"/>
    <x v="909"/>
    <x v="2"/>
    <n v="3.49"/>
    <x v="0"/>
    <x v="0"/>
    <x v="3"/>
    <n v="232"/>
  </r>
  <r>
    <n v="1066"/>
    <s v="Daniel White"/>
    <x v="31"/>
    <x v="0"/>
    <d v="2025-05-25T00:00:00"/>
    <d v="2024-10-12T00:00:00"/>
    <x v="910"/>
    <x v="3"/>
    <n v="527.11"/>
    <x v="0"/>
    <x v="1"/>
    <x v="5"/>
    <n v="225"/>
  </r>
  <r>
    <n v="1071"/>
    <s v="Brian Riley"/>
    <x v="70"/>
    <x v="1"/>
    <d v="2025-08-23T00:00:00"/>
    <d v="2024-09-24T00:00:00"/>
    <x v="911"/>
    <x v="0"/>
    <n v="153.44"/>
    <x v="1"/>
    <x v="1"/>
    <x v="0"/>
    <n v="333"/>
  </r>
  <r>
    <n v="1094"/>
    <s v="Joshua Wallace"/>
    <x v="47"/>
    <x v="2"/>
    <d v="2025-12-26T00:00:00"/>
    <d v="2024-05-22T00:00:00"/>
    <x v="912"/>
    <x v="3"/>
    <n v="466.01"/>
    <x v="1"/>
    <x v="1"/>
    <x v="4"/>
    <n v="583"/>
  </r>
  <r>
    <n v="1075"/>
    <s v="Amy Cruz"/>
    <x v="63"/>
    <x v="1"/>
    <d v="2025-12-14T00:00:00"/>
    <d v="2025-02-28T00:00:00"/>
    <x v="913"/>
    <x v="2"/>
    <n v="513.84"/>
    <x v="0"/>
    <x v="1"/>
    <x v="2"/>
    <n v="289"/>
  </r>
  <r>
    <n v="1077"/>
    <s v="Carly Dixon"/>
    <x v="39"/>
    <x v="1"/>
    <d v="2025-05-29T00:00:00"/>
    <d v="2025-01-26T00:00:00"/>
    <x v="914"/>
    <x v="1"/>
    <n v="125.8"/>
    <x v="1"/>
    <x v="1"/>
    <x v="3"/>
    <n v="123"/>
  </r>
  <r>
    <n v="1044"/>
    <s v="Pamela Bradshaw"/>
    <x v="63"/>
    <x v="1"/>
    <d v="2025-04-02T00:00:00"/>
    <d v="2024-07-08T00:00:00"/>
    <x v="915"/>
    <x v="3"/>
    <n v="3.88"/>
    <x v="1"/>
    <x v="1"/>
    <x v="2"/>
    <n v="268"/>
  </r>
  <r>
    <n v="1084"/>
    <s v="Rebecca Hall"/>
    <x v="9"/>
    <x v="1"/>
    <d v="2025-07-22T00:00:00"/>
    <d v="2025-06-28T00:00:00"/>
    <x v="916"/>
    <x v="3"/>
    <n v="124.77"/>
    <x v="1"/>
    <x v="1"/>
    <x v="1"/>
    <n v="24"/>
  </r>
  <r>
    <n v="1060"/>
    <s v="James Lopez"/>
    <x v="49"/>
    <x v="0"/>
    <d v="2025-09-19T00:00:00"/>
    <d v="2025-09-16T00:00:00"/>
    <x v="917"/>
    <x v="0"/>
    <n v="180.92"/>
    <x v="0"/>
    <x v="1"/>
    <x v="6"/>
    <n v="3"/>
  </r>
  <r>
    <n v="1055"/>
    <s v="Christopher Powell"/>
    <x v="1"/>
    <x v="1"/>
    <d v="2025-03-31T00:00:00"/>
    <d v="2024-11-05T00:00:00"/>
    <x v="918"/>
    <x v="1"/>
    <n v="5.27"/>
    <x v="0"/>
    <x v="1"/>
    <x v="1"/>
    <n v="146"/>
  </r>
  <r>
    <n v="1046"/>
    <s v="Barbara Dalton"/>
    <x v="36"/>
    <x v="1"/>
    <d v="2025-04-07T00:00:00"/>
    <d v="2024-06-02T00:00:00"/>
    <x v="919"/>
    <x v="0"/>
    <n v="306.94"/>
    <x v="0"/>
    <x v="1"/>
    <x v="3"/>
    <n v="309"/>
  </r>
  <r>
    <n v="1087"/>
    <s v="Alejandra Turner"/>
    <x v="52"/>
    <x v="0"/>
    <d v="2025-05-31T00:00:00"/>
    <d v="2025-05-24T00:00:00"/>
    <x v="920"/>
    <x v="0"/>
    <n v="218.34"/>
    <x v="0"/>
    <x v="1"/>
    <x v="5"/>
    <n v="7"/>
  </r>
  <r>
    <n v="1020"/>
    <s v="Kelsey Shaffer"/>
    <x v="18"/>
    <x v="1"/>
    <d v="2025-04-20T00:00:00"/>
    <d v="2024-12-07T00:00:00"/>
    <x v="921"/>
    <x v="2"/>
    <n v="101.98"/>
    <x v="0"/>
    <x v="1"/>
    <x v="4"/>
    <n v="134"/>
  </r>
  <r>
    <n v="1047"/>
    <s v="Kara Stewart"/>
    <x v="41"/>
    <x v="0"/>
    <d v="2025-04-21T00:00:00"/>
    <d v="2025-03-06T00:00:00"/>
    <x v="922"/>
    <x v="2"/>
    <n v="325.2"/>
    <x v="1"/>
    <x v="1"/>
    <x v="1"/>
    <n v="46"/>
  </r>
  <r>
    <n v="1053"/>
    <s v="Kenneth Fox"/>
    <x v="23"/>
    <x v="0"/>
    <d v="2025-10-13T00:00:00"/>
    <d v="2024-08-12T00:00:00"/>
    <x v="923"/>
    <x v="3"/>
    <n v="85.53"/>
    <x v="0"/>
    <x v="1"/>
    <x v="6"/>
    <n v="427"/>
  </r>
  <r>
    <n v="1031"/>
    <s v="Michelle Bradford"/>
    <x v="52"/>
    <x v="0"/>
    <d v="2026-03-17T00:00:00"/>
    <d v="2025-08-02T00:00:00"/>
    <x v="924"/>
    <x v="0"/>
    <n v="470.11"/>
    <x v="0"/>
    <x v="0"/>
    <x v="5"/>
    <n v="227"/>
  </r>
  <r>
    <n v="1041"/>
    <s v="Amy Wilson"/>
    <x v="16"/>
    <x v="1"/>
    <d v="2025-09-26T00:00:00"/>
    <d v="2025-02-01T00:00:00"/>
    <x v="925"/>
    <x v="1"/>
    <s v=""/>
    <x v="1"/>
    <x v="1"/>
    <x v="6"/>
    <n v="237"/>
  </r>
  <r>
    <n v="1047"/>
    <s v="Danielle Ortega"/>
    <x v="0"/>
    <x v="1"/>
    <d v="2025-08-18T00:00:00"/>
    <d v="2025-06-14T00:00:00"/>
    <x v="926"/>
    <x v="1"/>
    <n v="83.67"/>
    <x v="1"/>
    <x v="1"/>
    <x v="0"/>
    <n v="65"/>
  </r>
  <r>
    <n v="1012"/>
    <s v="Gregory Hines"/>
    <x v="0"/>
    <x v="1"/>
    <d v="2026-02-07T00:00:00"/>
    <d v="2026-01-15T00:00:00"/>
    <x v="927"/>
    <x v="1"/>
    <n v="2.81"/>
    <x v="1"/>
    <x v="0"/>
    <x v="0"/>
    <n v="23"/>
  </r>
  <r>
    <n v="1034"/>
    <s v="Amanda Douglas"/>
    <x v="17"/>
    <x v="1"/>
    <d v="2026-03-07T00:00:00"/>
    <d v="2024-06-25T00:00:00"/>
    <x v="928"/>
    <x v="3"/>
    <s v=""/>
    <x v="1"/>
    <x v="0"/>
    <x v="6"/>
    <n v="620"/>
  </r>
  <r>
    <n v="1091"/>
    <s v="Scott Walker"/>
    <x v="40"/>
    <x v="1"/>
    <d v="2026-03-22T00:00:00"/>
    <d v="2025-11-28T00:00:00"/>
    <x v="929"/>
    <x v="2"/>
    <n v="433.63"/>
    <x v="0"/>
    <x v="0"/>
    <x v="1"/>
    <n v="114"/>
  </r>
  <r>
    <n v="1034"/>
    <s v="Teresa Kim"/>
    <x v="67"/>
    <x v="1"/>
    <d v="2025-12-26T00:00:00"/>
    <d v="2024-04-27T00:00:00"/>
    <x v="930"/>
    <x v="2"/>
    <n v="5.07"/>
    <x v="1"/>
    <x v="1"/>
    <x v="0"/>
    <n v="608"/>
  </r>
  <r>
    <n v="1072"/>
    <s v="Kimberly Miller"/>
    <x v="65"/>
    <x v="0"/>
    <d v="2025-04-25T00:00:00"/>
    <d v="2024-04-30T00:00:00"/>
    <x v="931"/>
    <x v="0"/>
    <n v="347.14"/>
    <x v="0"/>
    <x v="1"/>
    <x v="4"/>
    <n v="360"/>
  </r>
  <r>
    <n v="1048"/>
    <s v="Ashley Black"/>
    <x v="32"/>
    <x v="0"/>
    <d v="2025-05-29T00:00:00"/>
    <d v="2025-01-29T00:00:00"/>
    <x v="932"/>
    <x v="2"/>
    <s v=""/>
    <x v="1"/>
    <x v="1"/>
    <x v="6"/>
    <n v="120"/>
  </r>
  <r>
    <n v="1068"/>
    <s v="Wendy Parks"/>
    <x v="51"/>
    <x v="1"/>
    <d v="2026-02-14T00:00:00"/>
    <d v="2025-09-09T00:00:00"/>
    <x v="933"/>
    <x v="2"/>
    <s v=""/>
    <x v="0"/>
    <x v="0"/>
    <x v="5"/>
    <n v="158"/>
  </r>
  <r>
    <n v="1063"/>
    <s v="Stacy Clements"/>
    <x v="68"/>
    <x v="0"/>
    <d v="2025-06-03T00:00:00"/>
    <d v="2024-11-09T00:00:00"/>
    <x v="934"/>
    <x v="0"/>
    <n v="1.06"/>
    <x v="0"/>
    <x v="1"/>
    <x v="0"/>
    <n v="206"/>
  </r>
  <r>
    <n v="1063"/>
    <s v="Kyle Gibbs"/>
    <x v="44"/>
    <x v="0"/>
    <d v="2026-02-25T00:00:00"/>
    <d v="2024-10-29T00:00:00"/>
    <x v="935"/>
    <x v="2"/>
    <n v="330.85"/>
    <x v="1"/>
    <x v="0"/>
    <x v="4"/>
    <n v="484"/>
  </r>
  <r>
    <n v="1045"/>
    <s v="Beth Stephens"/>
    <x v="54"/>
    <x v="0"/>
    <d v="2025-12-02T00:00:00"/>
    <d v="2025-04-13T00:00:00"/>
    <x v="936"/>
    <x v="3"/>
    <n v="2.71"/>
    <x v="1"/>
    <x v="1"/>
    <x v="3"/>
    <n v="233"/>
  </r>
  <r>
    <n v="1028"/>
    <s v="Michael Heath"/>
    <x v="19"/>
    <x v="1"/>
    <d v="2025-10-29T00:00:00"/>
    <d v="2025-03-22T00:00:00"/>
    <x v="778"/>
    <x v="0"/>
    <n v="2.82"/>
    <x v="0"/>
    <x v="1"/>
    <x v="6"/>
    <n v="221"/>
  </r>
  <r>
    <n v="1025"/>
    <s v="James Malone"/>
    <x v="32"/>
    <x v="0"/>
    <d v="2025-09-26T00:00:00"/>
    <d v="2025-06-16T00:00:00"/>
    <x v="937"/>
    <x v="2"/>
    <n v="326.83999999999997"/>
    <x v="0"/>
    <x v="1"/>
    <x v="6"/>
    <n v="102"/>
  </r>
  <r>
    <n v="1046"/>
    <s v="Christina Moore"/>
    <x v="38"/>
    <x v="1"/>
    <d v="2025-05-31T00:00:00"/>
    <d v="2024-08-21T00:00:00"/>
    <x v="938"/>
    <x v="1"/>
    <n v="634.37"/>
    <x v="1"/>
    <x v="1"/>
    <x v="1"/>
    <n v="283"/>
  </r>
  <r>
    <n v="1036"/>
    <s v="Katie Mcdaniel"/>
    <x v="0"/>
    <x v="0"/>
    <d v="2026-01-10T00:00:00"/>
    <d v="2025-07-31T00:00:00"/>
    <x v="939"/>
    <x v="3"/>
    <n v="136.77000000000001"/>
    <x v="0"/>
    <x v="0"/>
    <x v="0"/>
    <n v="163"/>
  </r>
  <r>
    <n v="1026"/>
    <s v="Scott Thompson"/>
    <x v="37"/>
    <x v="1"/>
    <d v="2026-02-14T00:00:00"/>
    <d v="2025-03-11T00:00:00"/>
    <x v="940"/>
    <x v="2"/>
    <n v="522.58000000000004"/>
    <x v="1"/>
    <x v="0"/>
    <x v="2"/>
    <n v="340"/>
  </r>
  <r>
    <n v="1097"/>
    <s v="Jon Berry"/>
    <x v="57"/>
    <x v="1"/>
    <d v="2025-11-02T00:00:00"/>
    <d v="2024-04-25T00:00:00"/>
    <x v="941"/>
    <x v="3"/>
    <n v="383.38"/>
    <x v="0"/>
    <x v="1"/>
    <x v="3"/>
    <n v="556"/>
  </r>
  <r>
    <n v="1014"/>
    <s v="Connie Wheeler"/>
    <x v="36"/>
    <x v="1"/>
    <d v="2025-12-30T00:00:00"/>
    <d v="2025-08-08T00:00:00"/>
    <x v="942"/>
    <x v="2"/>
    <n v="497.5"/>
    <x v="1"/>
    <x v="1"/>
    <x v="3"/>
    <n v="144"/>
  </r>
  <r>
    <n v="1085"/>
    <s v="Jonathan Howell"/>
    <x v="41"/>
    <x v="1"/>
    <d v="2025-08-12T00:00:00"/>
    <d v="2024-11-03T00:00:00"/>
    <x v="943"/>
    <x v="1"/>
    <n v="4.63"/>
    <x v="0"/>
    <x v="1"/>
    <x v="1"/>
    <n v="282"/>
  </r>
  <r>
    <n v="1005"/>
    <s v="Michelle King"/>
    <x v="8"/>
    <x v="1"/>
    <d v="2025-05-07T00:00:00"/>
    <d v="2024-06-22T00:00:00"/>
    <x v="944"/>
    <x v="3"/>
    <n v="432.66"/>
    <x v="1"/>
    <x v="1"/>
    <x v="4"/>
    <n v="319"/>
  </r>
  <r>
    <n v="1075"/>
    <s v="Christine Barron"/>
    <x v="65"/>
    <x v="1"/>
    <d v="2026-03-20T00:00:00"/>
    <d v="2025-12-24T00:00:00"/>
    <x v="945"/>
    <x v="0"/>
    <n v="1.18"/>
    <x v="0"/>
    <x v="0"/>
    <x v="4"/>
    <n v="86"/>
  </r>
  <r>
    <n v="1082"/>
    <s v="Dr. Karen Miller DDS"/>
    <x v="31"/>
    <x v="1"/>
    <d v="2025-04-19T00:00:00"/>
    <d v="2024-04-29T00:00:00"/>
    <x v="946"/>
    <x v="1"/>
    <n v="506.93"/>
    <x v="1"/>
    <x v="1"/>
    <x v="5"/>
    <n v="355"/>
  </r>
  <r>
    <n v="1089"/>
    <s v="Kimberly Barnett"/>
    <x v="1"/>
    <x v="1"/>
    <d v="2025-10-04T00:00:00"/>
    <d v="2025-07-31T00:00:00"/>
    <x v="947"/>
    <x v="3"/>
    <n v="535.34"/>
    <x v="0"/>
    <x v="1"/>
    <x v="1"/>
    <n v="65"/>
  </r>
  <r>
    <n v="1092"/>
    <s v="Abigail Warner"/>
    <x v="55"/>
    <x v="0"/>
    <d v="2025-10-25T00:00:00"/>
    <d v="2024-05-23T00:00:00"/>
    <x v="948"/>
    <x v="1"/>
    <n v="468.46"/>
    <x v="0"/>
    <x v="1"/>
    <x v="4"/>
    <n v="520"/>
  </r>
  <r>
    <n v="1066"/>
    <s v="Melissa Vaughn"/>
    <x v="28"/>
    <x v="1"/>
    <d v="2026-03-26T00:00:00"/>
    <d v="2025-06-21T00:00:00"/>
    <x v="949"/>
    <x v="0"/>
    <n v="336.58"/>
    <x v="1"/>
    <x v="0"/>
    <x v="2"/>
    <n v="278"/>
  </r>
  <r>
    <n v="1016"/>
    <s v="Jocelyn Strickland"/>
    <x v="6"/>
    <x v="1"/>
    <d v="2025-04-30T00:00:00"/>
    <d v="2024-07-10T00:00:00"/>
    <x v="950"/>
    <x v="0"/>
    <s v=""/>
    <x v="1"/>
    <x v="1"/>
    <x v="3"/>
    <n v="294"/>
  </r>
  <r>
    <n v="1041"/>
    <s v="Lindsay Shaw"/>
    <x v="63"/>
    <x v="0"/>
    <d v="2025-09-17T00:00:00"/>
    <d v="2024-05-09T00:00:00"/>
    <x v="951"/>
    <x v="1"/>
    <n v="646.29"/>
    <x v="1"/>
    <x v="1"/>
    <x v="2"/>
    <n v="496"/>
  </r>
  <r>
    <n v="1052"/>
    <s v="Melvin Bowers"/>
    <x v="19"/>
    <x v="0"/>
    <d v="2025-12-15T00:00:00"/>
    <d v="2025-11-14T00:00:00"/>
    <x v="952"/>
    <x v="1"/>
    <n v="218.39"/>
    <x v="0"/>
    <x v="1"/>
    <x v="6"/>
    <n v="31"/>
  </r>
  <r>
    <n v="1051"/>
    <s v="Victoria Gilbert"/>
    <x v="38"/>
    <x v="0"/>
    <d v="2025-04-08T00:00:00"/>
    <d v="2024-07-23T00:00:00"/>
    <x v="953"/>
    <x v="0"/>
    <n v="390.1"/>
    <x v="1"/>
    <x v="1"/>
    <x v="1"/>
    <n v="259"/>
  </r>
  <r>
    <n v="1035"/>
    <s v="John Marsh"/>
    <x v="66"/>
    <x v="1"/>
    <d v="2025-05-04T00:00:00"/>
    <d v="2024-06-04T00:00:00"/>
    <x v="314"/>
    <x v="3"/>
    <n v="542.24"/>
    <x v="0"/>
    <x v="1"/>
    <x v="5"/>
    <n v="334"/>
  </r>
  <r>
    <n v="1074"/>
    <s v="Eugene Underwood"/>
    <x v="56"/>
    <x v="1"/>
    <d v="2025-11-11T00:00:00"/>
    <d v="2025-05-20T00:00:00"/>
    <x v="954"/>
    <x v="2"/>
    <n v="5.14"/>
    <x v="1"/>
    <x v="1"/>
    <x v="0"/>
    <n v="175"/>
  </r>
  <r>
    <n v="1098"/>
    <s v="Michelle Payne"/>
    <x v="43"/>
    <x v="1"/>
    <d v="2025-07-02T00:00:00"/>
    <d v="2024-11-25T00:00:00"/>
    <x v="955"/>
    <x v="1"/>
    <n v="133.74"/>
    <x v="1"/>
    <x v="1"/>
    <x v="6"/>
    <n v="219"/>
  </r>
  <r>
    <n v="1100"/>
    <s v="Melanie Lee"/>
    <x v="52"/>
    <x v="1"/>
    <d v="2025-10-01T00:00:00"/>
    <d v="2024-10-25T00:00:00"/>
    <x v="956"/>
    <x v="0"/>
    <n v="587.71"/>
    <x v="1"/>
    <x v="1"/>
    <x v="5"/>
    <n v="341"/>
  </r>
  <r>
    <n v="1049"/>
    <s v="Jessica Murray"/>
    <x v="22"/>
    <x v="1"/>
    <d v="2025-12-29T00:00:00"/>
    <d v="2025-06-23T00:00:00"/>
    <x v="957"/>
    <x v="3"/>
    <n v="2.0299999999999998"/>
    <x v="1"/>
    <x v="1"/>
    <x v="3"/>
    <n v="189"/>
  </r>
  <r>
    <n v="1021"/>
    <s v="William Villarreal"/>
    <x v="56"/>
    <x v="1"/>
    <d v="2025-06-15T00:00:00"/>
    <d v="2024-08-17T00:00:00"/>
    <x v="958"/>
    <x v="1"/>
    <n v="269.35000000000002"/>
    <x v="0"/>
    <x v="1"/>
    <x v="0"/>
    <n v="302"/>
  </r>
  <r>
    <n v="1069"/>
    <s v="Monica Jones"/>
    <x v="25"/>
    <x v="1"/>
    <d v="2025-10-17T00:00:00"/>
    <d v="2024-05-07T00:00:00"/>
    <x v="959"/>
    <x v="0"/>
    <n v="4"/>
    <x v="1"/>
    <x v="1"/>
    <x v="3"/>
    <n v="528"/>
  </r>
  <r>
    <n v="1056"/>
    <s v="Craig Parsons"/>
    <x v="67"/>
    <x v="0"/>
    <d v="2026-01-09T00:00:00"/>
    <d v="2025-12-15T00:00:00"/>
    <x v="960"/>
    <x v="3"/>
    <n v="429.59"/>
    <x v="1"/>
    <x v="0"/>
    <x v="0"/>
    <n v="25"/>
  </r>
  <r>
    <n v="1036"/>
    <s v="Cameron Lopez"/>
    <x v="64"/>
    <x v="0"/>
    <d v="2025-04-27T00:00:00"/>
    <d v="2024-12-13T00:00:00"/>
    <x v="961"/>
    <x v="1"/>
    <n v="163"/>
    <x v="0"/>
    <x v="1"/>
    <x v="2"/>
    <n v="135"/>
  </r>
  <r>
    <n v="1063"/>
    <s v="Daniel Green"/>
    <x v="20"/>
    <x v="1"/>
    <d v="2025-07-05T00:00:00"/>
    <d v="2025-01-04T00:00:00"/>
    <x v="962"/>
    <x v="1"/>
    <n v="2.8"/>
    <x v="0"/>
    <x v="1"/>
    <x v="5"/>
    <n v="182"/>
  </r>
  <r>
    <n v="1081"/>
    <s v="William Hatfield"/>
    <x v="20"/>
    <x v="1"/>
    <d v="2026-02-26T00:00:00"/>
    <d v="2025-04-14T00:00:00"/>
    <x v="508"/>
    <x v="2"/>
    <n v="112.79"/>
    <x v="1"/>
    <x v="0"/>
    <x v="5"/>
    <n v="318"/>
  </r>
  <r>
    <n v="1042"/>
    <s v="Dawn Bryant"/>
    <x v="42"/>
    <x v="0"/>
    <d v="2025-06-14T00:00:00"/>
    <d v="2025-03-21T00:00:00"/>
    <x v="963"/>
    <x v="0"/>
    <n v="1.81"/>
    <x v="0"/>
    <x v="1"/>
    <x v="2"/>
    <n v="85"/>
  </r>
  <r>
    <n v="1082"/>
    <s v="Joseph Rodriguez"/>
    <x v="1"/>
    <x v="0"/>
    <d v="2025-05-25T00:00:00"/>
    <d v="2024-06-15T00:00:00"/>
    <x v="964"/>
    <x v="0"/>
    <n v="105.69"/>
    <x v="0"/>
    <x v="1"/>
    <x v="1"/>
    <n v="344"/>
  </r>
  <r>
    <n v="1002"/>
    <s v="Bailey Williamson"/>
    <x v="19"/>
    <x v="0"/>
    <d v="2025-10-17T00:00:00"/>
    <d v="2025-05-24T00:00:00"/>
    <x v="965"/>
    <x v="0"/>
    <n v="368.53"/>
    <x v="1"/>
    <x v="1"/>
    <x v="6"/>
    <n v="146"/>
  </r>
  <r>
    <n v="1047"/>
    <s v="Jeffrey Johnston"/>
    <x v="12"/>
    <x v="1"/>
    <d v="2026-01-21T00:00:00"/>
    <d v="2025-01-06T00:00:00"/>
    <x v="966"/>
    <x v="1"/>
    <n v="2.64"/>
    <x v="1"/>
    <x v="0"/>
    <x v="5"/>
    <n v="380"/>
  </r>
  <r>
    <n v="1043"/>
    <s v="Brandy Estes MD"/>
    <x v="38"/>
    <x v="1"/>
    <d v="2025-10-26T00:00:00"/>
    <d v="2024-05-15T00:00:00"/>
    <x v="967"/>
    <x v="2"/>
    <n v="317.32"/>
    <x v="0"/>
    <x v="1"/>
    <x v="1"/>
    <n v="529"/>
  </r>
  <r>
    <n v="1072"/>
    <s v="Kristin Combs"/>
    <x v="48"/>
    <x v="0"/>
    <d v="2025-10-28T00:00:00"/>
    <d v="2024-12-12T00:00:00"/>
    <x v="968"/>
    <x v="3"/>
    <n v="3.07"/>
    <x v="1"/>
    <x v="1"/>
    <x v="5"/>
    <n v="320"/>
  </r>
  <r>
    <n v="1085"/>
    <s v="Alex Rowe"/>
    <x v="21"/>
    <x v="1"/>
    <d v="2025-11-28T00:00:00"/>
    <d v="2025-06-15T00:00:00"/>
    <x v="969"/>
    <x v="0"/>
    <n v="1.26"/>
    <x v="1"/>
    <x v="1"/>
    <x v="5"/>
    <n v="166"/>
  </r>
  <r>
    <n v="1088"/>
    <s v="Kevin Peters"/>
    <x v="30"/>
    <x v="0"/>
    <d v="2025-07-23T00:00:00"/>
    <d v="2025-04-28T00:00:00"/>
    <x v="575"/>
    <x v="3"/>
    <n v="108.39"/>
    <x v="1"/>
    <x v="1"/>
    <x v="3"/>
    <n v="86"/>
  </r>
  <r>
    <n v="1059"/>
    <s v="Hunter Miller"/>
    <x v="53"/>
    <x v="0"/>
    <d v="2025-07-24T00:00:00"/>
    <d v="2025-05-31T00:00:00"/>
    <x v="970"/>
    <x v="2"/>
    <n v="511.28"/>
    <x v="1"/>
    <x v="1"/>
    <x v="1"/>
    <n v="54"/>
  </r>
  <r>
    <n v="1028"/>
    <s v="Rebecca Franklin"/>
    <x v="63"/>
    <x v="0"/>
    <d v="2025-07-03T00:00:00"/>
    <d v="2024-05-16T00:00:00"/>
    <x v="971"/>
    <x v="2"/>
    <n v="2.06"/>
    <x v="0"/>
    <x v="1"/>
    <x v="2"/>
    <n v="413"/>
  </r>
  <r>
    <n v="1019"/>
    <s v="David Chapman"/>
    <x v="15"/>
    <x v="0"/>
    <d v="2025-07-27T00:00:00"/>
    <d v="2025-07-17T00:00:00"/>
    <x v="972"/>
    <x v="1"/>
    <n v="508.95"/>
    <x v="1"/>
    <x v="1"/>
    <x v="1"/>
    <n v="10"/>
  </r>
  <r>
    <n v="1012"/>
    <s v="Timothy Fowler"/>
    <x v="5"/>
    <x v="0"/>
    <d v="2025-07-15T00:00:00"/>
    <d v="2025-07-04T00:00:00"/>
    <x v="973"/>
    <x v="3"/>
    <n v="264.62"/>
    <x v="1"/>
    <x v="1"/>
    <x v="0"/>
    <n v="11"/>
  </r>
  <r>
    <n v="1049"/>
    <s v="Megan Russell"/>
    <x v="32"/>
    <x v="1"/>
    <d v="2025-12-26T00:00:00"/>
    <d v="2025-08-07T00:00:00"/>
    <x v="974"/>
    <x v="0"/>
    <n v="359.17"/>
    <x v="0"/>
    <x v="1"/>
    <x v="6"/>
    <n v="141"/>
  </r>
  <r>
    <n v="1081"/>
    <s v="Courtney Wright"/>
    <x v="63"/>
    <x v="2"/>
    <d v="2025-07-26T00:00:00"/>
    <d v="2024-05-24T00:00:00"/>
    <x v="975"/>
    <x v="1"/>
    <n v="3.99"/>
    <x v="0"/>
    <x v="1"/>
    <x v="2"/>
    <n v="428"/>
  </r>
  <r>
    <n v="1045"/>
    <s v="Natalie Marquez"/>
    <x v="36"/>
    <x v="0"/>
    <d v="2025-07-18T00:00:00"/>
    <d v="2025-03-24T00:00:00"/>
    <x v="976"/>
    <x v="2"/>
    <n v="534.1"/>
    <x v="1"/>
    <x v="1"/>
    <x v="3"/>
    <n v="116"/>
  </r>
  <r>
    <n v="1076"/>
    <s v="Sarah Wilson"/>
    <x v="2"/>
    <x v="1"/>
    <d v="2026-02-21T00:00:00"/>
    <d v="2024-08-08T00:00:00"/>
    <x v="977"/>
    <x v="1"/>
    <n v="120.7"/>
    <x v="0"/>
    <x v="0"/>
    <x v="0"/>
    <n v="562"/>
  </r>
  <r>
    <n v="1047"/>
    <s v="Ashley Estes"/>
    <x v="8"/>
    <x v="1"/>
    <d v="2025-06-02T00:00:00"/>
    <d v="2024-07-31T00:00:00"/>
    <x v="978"/>
    <x v="0"/>
    <n v="538.85"/>
    <x v="0"/>
    <x v="1"/>
    <x v="4"/>
    <n v="306"/>
  </r>
  <r>
    <n v="1068"/>
    <s v="William Bentley"/>
    <x v="24"/>
    <x v="1"/>
    <d v="2025-10-21T00:00:00"/>
    <d v="2025-03-31T00:00:00"/>
    <x v="979"/>
    <x v="2"/>
    <n v="263.3"/>
    <x v="0"/>
    <x v="1"/>
    <x v="2"/>
    <n v="204"/>
  </r>
  <r>
    <n v="1021"/>
    <s v="James Carey"/>
    <x v="71"/>
    <x v="1"/>
    <d v="2025-04-03T00:00:00"/>
    <d v="2024-08-22T00:00:00"/>
    <x v="980"/>
    <x v="1"/>
    <n v="625.21"/>
    <x v="0"/>
    <x v="1"/>
    <x v="2"/>
    <n v="224"/>
  </r>
  <r>
    <n v="1052"/>
    <s v="Nicholas Mcdaniel"/>
    <x v="42"/>
    <x v="0"/>
    <d v="2025-08-09T00:00:00"/>
    <d v="2025-04-26T00:00:00"/>
    <x v="981"/>
    <x v="1"/>
    <n v="89.3"/>
    <x v="1"/>
    <x v="1"/>
    <x v="2"/>
    <n v="105"/>
  </r>
  <r>
    <n v="1075"/>
    <s v="Cheryl Rogers"/>
    <x v="63"/>
    <x v="1"/>
    <d v="2026-01-12T00:00:00"/>
    <d v="2025-10-30T00:00:00"/>
    <x v="982"/>
    <x v="3"/>
    <n v="501.09"/>
    <x v="0"/>
    <x v="0"/>
    <x v="2"/>
    <n v="74"/>
  </r>
  <r>
    <n v="1047"/>
    <s v="Patricia Jackson"/>
    <x v="0"/>
    <x v="0"/>
    <d v="2026-02-28T00:00:00"/>
    <d v="2024-11-19T00:00:00"/>
    <x v="983"/>
    <x v="0"/>
    <n v="4.17"/>
    <x v="1"/>
    <x v="0"/>
    <x v="0"/>
    <n v="466"/>
  </r>
  <r>
    <n v="1017"/>
    <s v="Erin Bates"/>
    <x v="34"/>
    <x v="1"/>
    <d v="2025-06-13T00:00:00"/>
    <d v="2025-01-15T00:00:00"/>
    <x v="984"/>
    <x v="0"/>
    <n v="370.13"/>
    <x v="0"/>
    <x v="1"/>
    <x v="2"/>
    <n v="149"/>
  </r>
  <r>
    <n v="1068"/>
    <s v="Aaron Holder"/>
    <x v="30"/>
    <x v="1"/>
    <d v="2026-01-26T00:00:00"/>
    <d v="2024-11-28T00:00:00"/>
    <x v="985"/>
    <x v="3"/>
    <n v="4.1500000000000004"/>
    <x v="0"/>
    <x v="0"/>
    <x v="3"/>
    <n v="424"/>
  </r>
  <r>
    <n v="1082"/>
    <s v="Thomas Roman"/>
    <x v="38"/>
    <x v="0"/>
    <d v="2025-09-14T00:00:00"/>
    <d v="2024-07-15T00:00:00"/>
    <x v="986"/>
    <x v="3"/>
    <n v="2.2000000000000002"/>
    <x v="0"/>
    <x v="1"/>
    <x v="1"/>
    <n v="426"/>
  </r>
  <r>
    <n v="1008"/>
    <s v="Jack Cooper"/>
    <x v="27"/>
    <x v="0"/>
    <d v="2025-04-09T00:00:00"/>
    <d v="2024-06-20T00:00:00"/>
    <x v="378"/>
    <x v="3"/>
    <n v="2.69"/>
    <x v="1"/>
    <x v="1"/>
    <x v="1"/>
    <n v="293"/>
  </r>
  <r>
    <n v="1022"/>
    <s v="Christopher Brown"/>
    <x v="50"/>
    <x v="1"/>
    <d v="2026-02-13T00:00:00"/>
    <d v="2024-06-13T00:00:00"/>
    <x v="987"/>
    <x v="2"/>
    <n v="205.46"/>
    <x v="1"/>
    <x v="0"/>
    <x v="3"/>
    <n v="610"/>
  </r>
  <r>
    <n v="1088"/>
    <s v="Michael Sullivan"/>
    <x v="53"/>
    <x v="0"/>
    <d v="2025-07-04T00:00:00"/>
    <d v="2024-04-15T00:00:00"/>
    <x v="988"/>
    <x v="2"/>
    <n v="434.95"/>
    <x v="1"/>
    <x v="1"/>
    <x v="1"/>
    <n v="445"/>
  </r>
  <r>
    <n v="1003"/>
    <s v="Perry Crawford"/>
    <x v="2"/>
    <x v="1"/>
    <d v="2025-11-05T00:00:00"/>
    <d v="2024-07-22T00:00:00"/>
    <x v="989"/>
    <x v="0"/>
    <n v="114.5"/>
    <x v="0"/>
    <x v="1"/>
    <x v="0"/>
    <n v="4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A65D38-20A2-4BF1-A6EC-57C929A5E646}" name="ageeeeeeeeee"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
  <location ref="P3:Q10" firstHeaderRow="1" firstDataRow="1" firstDataCol="1"/>
  <pivotFields count="13">
    <pivotField dataField="1"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items count="3">
        <item h="1" x="1"/>
        <item x="0"/>
        <item t="default"/>
      </items>
    </pivotField>
    <pivotField axis="axisRow" compact="0" outline="0" showAll="0">
      <items count="8">
        <item x="3"/>
        <item x="5"/>
        <item x="2"/>
        <item x="4"/>
        <item x="1"/>
        <item x="0"/>
        <item x="6"/>
        <item t="default"/>
      </items>
    </pivotField>
    <pivotField compact="0" outline="0" showAll="0"/>
  </pivotFields>
  <rowFields count="1">
    <field x="11"/>
  </rowFields>
  <rowItems count="7">
    <i>
      <x/>
    </i>
    <i>
      <x v="1"/>
    </i>
    <i>
      <x v="2"/>
    </i>
    <i>
      <x v="3"/>
    </i>
    <i>
      <x v="4"/>
    </i>
    <i>
      <x v="5"/>
    </i>
    <i>
      <x v="6"/>
    </i>
  </rowItems>
  <colItems count="1">
    <i/>
  </colItems>
  <dataFields count="1">
    <dataField name="Count of patient_id" fld="0" subtotal="count" baseField="11"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3"/>
          </reference>
        </references>
      </pivotArea>
    </chartFormat>
    <chartFormat chart="0" format="2">
      <pivotArea type="data" outline="0" fieldPosition="0">
        <references count="2">
          <reference field="4294967294" count="1" selected="0">
            <x v="0"/>
          </reference>
          <reference field="11" count="1" selected="0">
            <x v="4"/>
          </reference>
        </references>
      </pivotArea>
    </chartFormat>
    <chartFormat chart="0" format="3">
      <pivotArea type="data" outline="0" fieldPosition="0">
        <references count="2">
          <reference field="4294967294" count="1" selected="0">
            <x v="0"/>
          </reference>
          <reference field="11" count="1" selected="0">
            <x v="5"/>
          </reference>
        </references>
      </pivotArea>
    </chartFormat>
    <chartFormat chart="0" format="4">
      <pivotArea type="data" outline="0" fieldPosition="0">
        <references count="2">
          <reference field="4294967294" count="1" selected="0">
            <x v="0"/>
          </reference>
          <reference field="11" count="1" selected="0">
            <x v="2"/>
          </reference>
        </references>
      </pivotArea>
    </chartFormat>
    <chartFormat chart="0" format="5">
      <pivotArea type="data" outline="0" fieldPosition="0">
        <references count="2">
          <reference field="4294967294" count="1" selected="0">
            <x v="0"/>
          </reference>
          <reference field="11" count="1" selected="0">
            <x v="1"/>
          </reference>
        </references>
      </pivotArea>
    </chartFormat>
    <chartFormat chart="0" format="6">
      <pivotArea type="data" outline="0" fieldPosition="0">
        <references count="2">
          <reference field="4294967294" count="1" selected="0">
            <x v="0"/>
          </reference>
          <reference field="11" count="1" selected="0">
            <x v="0"/>
          </reference>
        </references>
      </pivotArea>
    </chartFormat>
    <chartFormat chart="0" format="7">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336F14-A555-4627-9EE4-C68EA443D098}" name="PivotTable5" cacheId="2" applyNumberFormats="0" applyBorderFormats="0" applyFontFormats="0" applyPatternFormats="0" applyAlignmentFormats="0" applyWidthHeightFormats="1" dataCaption="Values" updatedVersion="7" minRefreshableVersion="3" rowGrandTotals="0" colGrandTotals="0" itemPrintTitles="1" createdVersion="7" indent="0" compact="0" compactData="0" multipleFieldFilters="0" chartFormat="2">
  <location ref="AN19:AO24" firstHeaderRow="1" firstDataRow="1" firstDataCol="1"/>
  <pivotFields count="13">
    <pivotField compact="0" outline="0" showAll="0"/>
    <pivotField compact="0" outline="0" showAll="0"/>
    <pivotField compact="0" outline="0" showAll="0"/>
    <pivotField compact="0" outline="0" showAll="0"/>
    <pivotField compact="0" numFmtId="14" outline="0" showAll="0"/>
    <pivotField compact="0" numFmtId="14" outline="0" showAll="0"/>
    <pivotField name="Doctor" axis="axisRow" compact="0" outline="0" showAll="0" measureFilter="1" sortType="descending">
      <items count="991">
        <item x="565"/>
        <item x="939"/>
        <item x="644"/>
        <item x="635"/>
        <item x="796"/>
        <item x="853"/>
        <item x="582"/>
        <item x="309"/>
        <item x="448"/>
        <item x="147"/>
        <item x="325"/>
        <item x="346"/>
        <item x="92"/>
        <item x="620"/>
        <item x="268"/>
        <item x="558"/>
        <item x="242"/>
        <item x="393"/>
        <item x="65"/>
        <item x="193"/>
        <item x="711"/>
        <item x="327"/>
        <item x="40"/>
        <item x="143"/>
        <item x="211"/>
        <item x="810"/>
        <item x="828"/>
        <item x="190"/>
        <item x="570"/>
        <item x="681"/>
        <item x="285"/>
        <item x="739"/>
        <item x="222"/>
        <item x="217"/>
        <item x="814"/>
        <item x="371"/>
        <item x="610"/>
        <item x="175"/>
        <item x="434"/>
        <item x="484"/>
        <item x="165"/>
        <item x="236"/>
        <item x="745"/>
        <item x="604"/>
        <item x="229"/>
        <item x="333"/>
        <item x="12"/>
        <item x="134"/>
        <item x="889"/>
        <item x="557"/>
        <item x="861"/>
        <item x="73"/>
        <item x="14"/>
        <item x="4"/>
        <item x="956"/>
        <item x="967"/>
        <item x="881"/>
        <item x="503"/>
        <item x="473"/>
        <item x="591"/>
        <item x="840"/>
        <item x="109"/>
        <item x="541"/>
        <item x="180"/>
        <item x="647"/>
        <item x="31"/>
        <item x="703"/>
        <item x="535"/>
        <item x="792"/>
        <item x="432"/>
        <item x="836"/>
        <item x="931"/>
        <item x="795"/>
        <item x="131"/>
        <item x="100"/>
        <item x="944"/>
        <item x="37"/>
        <item x="988"/>
        <item x="257"/>
        <item x="612"/>
        <item x="516"/>
        <item x="797"/>
        <item x="563"/>
        <item x="878"/>
        <item x="953"/>
        <item x="423"/>
        <item x="179"/>
        <item x="332"/>
        <item x="774"/>
        <item x="110"/>
        <item x="841"/>
        <item x="537"/>
        <item x="355"/>
        <item x="490"/>
        <item x="909"/>
        <item x="555"/>
        <item x="974"/>
        <item x="368"/>
        <item x="150"/>
        <item x="680"/>
        <item x="618"/>
        <item x="312"/>
        <item x="922"/>
        <item x="778"/>
        <item x="506"/>
        <item x="954"/>
        <item x="762"/>
        <item x="695"/>
        <item x="770"/>
        <item x="377"/>
        <item x="442"/>
        <item x="920"/>
        <item x="74"/>
        <item x="875"/>
        <item x="433"/>
        <item x="1"/>
        <item x="139"/>
        <item x="220"/>
        <item x="159"/>
        <item x="149"/>
        <item x="117"/>
        <item x="279"/>
        <item x="93"/>
        <item x="284"/>
        <item x="542"/>
        <item x="321"/>
        <item x="553"/>
        <item x="696"/>
        <item x="738"/>
        <item x="519"/>
        <item x="823"/>
        <item x="891"/>
        <item x="47"/>
        <item x="693"/>
        <item x="816"/>
        <item x="690"/>
        <item x="492"/>
        <item x="23"/>
        <item x="929"/>
        <item x="479"/>
        <item x="758"/>
        <item x="683"/>
        <item x="359"/>
        <item x="88"/>
        <item x="636"/>
        <item x="407"/>
        <item x="807"/>
        <item x="533"/>
        <item x="917"/>
        <item x="350"/>
        <item x="447"/>
        <item x="754"/>
        <item x="178"/>
        <item x="29"/>
        <item x="955"/>
        <item x="356"/>
        <item x="240"/>
        <item x="671"/>
        <item x="399"/>
        <item x="301"/>
        <item x="334"/>
        <item x="911"/>
        <item x="56"/>
        <item x="197"/>
        <item x="963"/>
        <item x="551"/>
        <item x="707"/>
        <item x="120"/>
        <item x="523"/>
        <item x="525"/>
        <item x="984"/>
        <item x="627"/>
        <item x="959"/>
        <item x="349"/>
        <item x="607"/>
        <item x="17"/>
        <item x="630"/>
        <item x="177"/>
        <item x="921"/>
        <item x="238"/>
        <item x="52"/>
        <item x="311"/>
        <item x="16"/>
        <item x="803"/>
        <item x="129"/>
        <item x="300"/>
        <item x="0"/>
        <item x="935"/>
        <item x="185"/>
        <item x="514"/>
        <item x="54"/>
        <item x="41"/>
        <item x="429"/>
        <item x="317"/>
        <item x="530"/>
        <item x="308"/>
        <item x="218"/>
        <item x="691"/>
        <item x="378"/>
        <item x="243"/>
        <item x="961"/>
        <item x="244"/>
        <item x="420"/>
        <item x="654"/>
        <item x="133"/>
        <item x="897"/>
        <item x="526"/>
        <item x="421"/>
        <item x="148"/>
        <item x="595"/>
        <item x="63"/>
        <item x="818"/>
        <item x="603"/>
        <item x="977"/>
        <item x="55"/>
        <item x="642"/>
        <item x="388"/>
        <item x="746"/>
        <item x="75"/>
        <item x="224"/>
        <item x="521"/>
        <item x="966"/>
        <item x="140"/>
        <item x="145"/>
        <item x="712"/>
        <item x="934"/>
        <item x="347"/>
        <item x="622"/>
        <item x="806"/>
        <item x="585"/>
        <item x="207"/>
        <item x="157"/>
        <item x="867"/>
        <item x="702"/>
        <item x="813"/>
        <item x="122"/>
        <item x="465"/>
        <item x="540"/>
        <item x="206"/>
        <item x="24"/>
        <item x="18"/>
        <item x="87"/>
        <item x="971"/>
        <item x="975"/>
        <item x="278"/>
        <item x="981"/>
        <item x="416"/>
        <item x="749"/>
        <item x="539"/>
        <item x="777"/>
        <item x="25"/>
        <item x="619"/>
        <item x="461"/>
        <item x="943"/>
        <item x="293"/>
        <item x="688"/>
        <item x="679"/>
        <item x="534"/>
        <item x="162"/>
        <item x="613"/>
        <item x="510"/>
        <item x="589"/>
        <item x="376"/>
        <item x="657"/>
        <item x="296"/>
        <item x="27"/>
        <item x="669"/>
        <item x="903"/>
        <item x="873"/>
        <item x="900"/>
        <item x="786"/>
        <item x="2"/>
        <item x="594"/>
        <item x="605"/>
        <item x="668"/>
        <item x="769"/>
        <item x="182"/>
        <item x="634"/>
        <item x="304"/>
        <item x="932"/>
        <item x="969"/>
        <item x="495"/>
        <item x="167"/>
        <item x="374"/>
        <item x="101"/>
        <item x="104"/>
        <item x="46"/>
        <item x="802"/>
        <item x="316"/>
        <item x="866"/>
        <item x="670"/>
        <item x="446"/>
        <item x="631"/>
        <item x="915"/>
        <item x="740"/>
        <item x="598"/>
        <item x="725"/>
        <item x="724"/>
        <item x="478"/>
        <item x="973"/>
        <item x="128"/>
        <item x="964"/>
        <item x="678"/>
        <item x="727"/>
        <item x="737"/>
        <item x="324"/>
        <item x="234"/>
        <item x="904"/>
        <item x="283"/>
        <item x="76"/>
        <item x="168"/>
        <item x="384"/>
        <item x="322"/>
        <item x="682"/>
        <item x="107"/>
        <item x="885"/>
        <item x="628"/>
        <item x="775"/>
        <item x="367"/>
        <item x="391"/>
        <item x="161"/>
        <item x="656"/>
        <item x="592"/>
        <item x="784"/>
        <item x="576"/>
        <item x="940"/>
        <item x="831"/>
        <item x="771"/>
        <item x="658"/>
        <item x="708"/>
        <item x="496"/>
        <item x="489"/>
        <item x="908"/>
        <item x="609"/>
        <item x="527"/>
        <item x="520"/>
        <item x="968"/>
        <item x="470"/>
        <item x="621"/>
        <item x="130"/>
        <item x="203"/>
        <item x="914"/>
        <item x="586"/>
        <item x="918"/>
        <item x="118"/>
        <item x="965"/>
        <item x="418"/>
        <item x="71"/>
        <item x="829"/>
        <item x="488"/>
        <item x="214"/>
        <item x="260"/>
        <item x="930"/>
        <item x="928"/>
        <item x="353"/>
        <item x="28"/>
        <item x="292"/>
        <item x="700"/>
        <item x="883"/>
        <item x="209"/>
        <item x="646"/>
        <item x="790"/>
        <item x="638"/>
        <item x="839"/>
        <item x="79"/>
        <item x="941"/>
        <item x="611"/>
        <item x="436"/>
        <item x="948"/>
        <item x="507"/>
        <item x="780"/>
        <item x="501"/>
        <item x="907"/>
        <item x="415"/>
        <item x="643"/>
        <item x="524"/>
        <item x="673"/>
        <item x="860"/>
        <item x="274"/>
        <item x="375"/>
        <item x="625"/>
        <item x="715"/>
        <item x="788"/>
        <item x="205"/>
        <item x="689"/>
        <item x="856"/>
        <item x="455"/>
        <item x="141"/>
        <item x="499"/>
        <item x="979"/>
        <item x="320"/>
        <item x="764"/>
        <item x="263"/>
        <item x="408"/>
        <item x="980"/>
        <item x="7"/>
        <item x="262"/>
        <item x="734"/>
        <item x="962"/>
        <item x="957"/>
        <item x="369"/>
        <item x="750"/>
        <item x="60"/>
        <item x="820"/>
        <item x="765"/>
        <item x="826"/>
        <item x="8"/>
        <item x="573"/>
        <item x="62"/>
        <item x="412"/>
        <item x="44"/>
        <item x="578"/>
        <item x="26"/>
        <item x="452"/>
        <item x="744"/>
        <item x="192"/>
        <item x="172"/>
        <item x="808"/>
        <item x="335"/>
        <item x="64"/>
        <item x="357"/>
        <item x="513"/>
        <item x="287"/>
        <item x="200"/>
        <item x="219"/>
        <item x="888"/>
        <item x="69"/>
        <item x="782"/>
        <item x="466"/>
        <item x="164"/>
        <item x="532"/>
        <item x="215"/>
        <item x="787"/>
        <item x="245"/>
        <item x="119"/>
        <item x="983"/>
        <item x="976"/>
        <item x="854"/>
        <item x="543"/>
        <item x="132"/>
        <item x="326"/>
        <item x="231"/>
        <item x="50"/>
        <item x="48"/>
        <item x="653"/>
        <item x="735"/>
        <item x="536"/>
        <item x="153"/>
        <item x="748"/>
        <item x="714"/>
        <item x="798"/>
        <item x="599"/>
        <item x="606"/>
        <item x="723"/>
        <item x="173"/>
        <item x="529"/>
        <item x="383"/>
        <item x="6"/>
        <item x="78"/>
        <item x="280"/>
        <item x="430"/>
        <item x="362"/>
        <item x="226"/>
        <item x="752"/>
        <item x="13"/>
        <item x="195"/>
        <item x="202"/>
        <item x="872"/>
        <item x="887"/>
        <item x="259"/>
        <item x="666"/>
        <item x="842"/>
        <item x="295"/>
        <item x="184"/>
        <item x="772"/>
        <item x="672"/>
        <item x="241"/>
        <item x="515"/>
        <item x="640"/>
        <item x="960"/>
        <item x="639"/>
        <item x="721"/>
        <item x="624"/>
        <item x="469"/>
        <item x="237"/>
        <item x="297"/>
        <item x="216"/>
        <item x="544"/>
        <item x="938"/>
        <item x="343"/>
        <item x="137"/>
        <item x="799"/>
        <item x="483"/>
        <item x="791"/>
        <item x="951"/>
        <item x="361"/>
        <item x="709"/>
        <item x="255"/>
        <item x="850"/>
        <item x="394"/>
        <item x="427"/>
        <item x="910"/>
        <item x="564"/>
        <item x="661"/>
        <item x="459"/>
        <item x="645"/>
        <item x="497"/>
        <item x="409"/>
        <item x="811"/>
        <item x="713"/>
        <item x="859"/>
        <item x="824"/>
        <item x="685"/>
        <item x="146"/>
        <item x="266"/>
        <item x="3"/>
        <item x="365"/>
        <item x="183"/>
        <item x="451"/>
        <item x="204"/>
        <item x="731"/>
        <item x="687"/>
        <item x="80"/>
        <item x="718"/>
        <item x="269"/>
        <item x="817"/>
        <item x="970"/>
        <item x="201"/>
        <item x="248"/>
        <item x="863"/>
        <item x="742"/>
        <item x="837"/>
        <item x="19"/>
        <item x="108"/>
        <item x="674"/>
        <item x="428"/>
        <item x="676"/>
        <item x="637"/>
        <item x="728"/>
        <item x="538"/>
        <item x="548"/>
        <item x="664"/>
        <item x="531"/>
        <item x="272"/>
        <item x="692"/>
        <item x="776"/>
        <item x="38"/>
        <item x="254"/>
        <item x="768"/>
        <item x="916"/>
        <item x="868"/>
        <item x="404"/>
        <item x="282"/>
        <item x="386"/>
        <item x="588"/>
        <item x="730"/>
        <item x="363"/>
        <item x="313"/>
        <item x="5"/>
        <item x="751"/>
        <item x="135"/>
        <item x="987"/>
        <item x="380"/>
        <item x="819"/>
        <item x="462"/>
        <item x="822"/>
        <item x="923"/>
        <item x="632"/>
        <item x="722"/>
        <item x="508"/>
        <item x="719"/>
        <item x="194"/>
        <item x="97"/>
        <item x="699"/>
        <item x="339"/>
        <item x="186"/>
        <item x="880"/>
        <item x="686"/>
        <item x="261"/>
        <item x="96"/>
        <item x="152"/>
        <item x="445"/>
        <item x="382"/>
        <item x="590"/>
        <item x="597"/>
        <item x="340"/>
        <item x="32"/>
        <item x="352"/>
        <item x="985"/>
        <item x="424"/>
        <item x="809"/>
        <item x="562"/>
        <item x="566"/>
        <item x="460"/>
        <item x="230"/>
        <item x="617"/>
        <item x="360"/>
        <item x="342"/>
        <item x="249"/>
        <item x="138"/>
        <item x="684"/>
        <item x="370"/>
        <item x="303"/>
        <item x="151"/>
        <item x="522"/>
        <item x="869"/>
        <item x="877"/>
        <item x="477"/>
        <item x="336"/>
        <item x="154"/>
        <item x="323"/>
        <item x="61"/>
        <item x="176"/>
        <item x="22"/>
        <item x="805"/>
        <item x="756"/>
        <item x="411"/>
        <item x="142"/>
        <item x="865"/>
        <item x="319"/>
        <item x="845"/>
        <item x="103"/>
        <item x="893"/>
        <item x="252"/>
        <item x="779"/>
        <item x="456"/>
        <item x="453"/>
        <item x="546"/>
        <item x="435"/>
        <item x="899"/>
        <item x="213"/>
        <item x="258"/>
        <item x="652"/>
        <item x="450"/>
        <item x="901"/>
        <item x="86"/>
        <item x="759"/>
        <item x="892"/>
        <item x="800"/>
        <item x="481"/>
        <item x="946"/>
        <item x="989"/>
        <item x="587"/>
        <item x="898"/>
        <item x="584"/>
        <item x="706"/>
        <item x="275"/>
        <item x="410"/>
        <item x="406"/>
        <item x="743"/>
        <item x="579"/>
        <item x="191"/>
        <item x="163"/>
        <item x="318"/>
        <item x="838"/>
        <item x="425"/>
        <item x="781"/>
        <item x="821"/>
        <item x="733"/>
        <item x="328"/>
        <item x="487"/>
        <item x="136"/>
        <item x="298"/>
        <item x="902"/>
        <item x="874"/>
        <item x="858"/>
        <item x="116"/>
        <item x="882"/>
        <item x="83"/>
        <item x="441"/>
        <item x="528"/>
        <item x="381"/>
        <item x="246"/>
        <item x="895"/>
        <item x="912"/>
        <item x="310"/>
        <item x="933"/>
        <item x="650"/>
        <item x="351"/>
        <item x="385"/>
        <item x="208"/>
        <item x="569"/>
        <item x="124"/>
        <item x="550"/>
        <item x="438"/>
        <item x="884"/>
        <item x="277"/>
        <item x="701"/>
        <item x="121"/>
        <item x="364"/>
        <item x="614"/>
        <item x="710"/>
        <item x="91"/>
        <item x="843"/>
        <item x="648"/>
        <item x="760"/>
        <item x="511"/>
        <item x="289"/>
        <item x="697"/>
        <item x="554"/>
        <item x="314"/>
        <item x="227"/>
        <item x="307"/>
        <item x="288"/>
        <item x="290"/>
        <item x="188"/>
        <item x="239"/>
        <item x="373"/>
        <item x="264"/>
        <item x="608"/>
        <item x="72"/>
        <item x="662"/>
        <item x="785"/>
        <item x="187"/>
        <item x="633"/>
        <item x="500"/>
        <item x="112"/>
        <item x="305"/>
        <item x="210"/>
        <item x="33"/>
        <item x="560"/>
        <item x="667"/>
        <item x="663"/>
        <item x="437"/>
        <item x="789"/>
        <item x="344"/>
        <item x="726"/>
        <item x="113"/>
        <item x="49"/>
        <item x="372"/>
        <item x="575"/>
        <item x="440"/>
        <item x="397"/>
        <item x="855"/>
        <item x="517"/>
        <item x="338"/>
        <item x="11"/>
        <item x="925"/>
        <item x="491"/>
        <item x="732"/>
        <item x="337"/>
        <item x="847"/>
        <item x="105"/>
        <item x="379"/>
        <item x="111"/>
        <item x="559"/>
        <item x="600"/>
        <item x="330"/>
        <item x="225"/>
        <item x="556"/>
        <item x="59"/>
        <item x="851"/>
        <item x="894"/>
        <item x="552"/>
        <item x="106"/>
        <item x="400"/>
        <item x="675"/>
        <item x="402"/>
        <item x="596"/>
        <item x="90"/>
        <item x="228"/>
        <item x="341"/>
        <item x="651"/>
        <item x="835"/>
        <item x="126"/>
        <item x="265"/>
        <item x="196"/>
        <item x="665"/>
        <item x="267"/>
        <item x="571"/>
        <item x="919"/>
        <item x="233"/>
        <item x="890"/>
        <item x="171"/>
        <item x="896"/>
        <item x="67"/>
        <item x="972"/>
        <item x="403"/>
        <item x="572"/>
        <item x="401"/>
        <item x="480"/>
        <item x="89"/>
        <item x="444"/>
        <item x="417"/>
        <item x="927"/>
        <item x="502"/>
        <item x="21"/>
        <item x="66"/>
        <item x="574"/>
        <item x="329"/>
        <item x="291"/>
        <item x="509"/>
        <item x="518"/>
        <item x="937"/>
        <item x="467"/>
        <item x="20"/>
        <item x="498"/>
        <item x="593"/>
        <item x="454"/>
        <item x="581"/>
        <item x="504"/>
        <item x="825"/>
        <item x="57"/>
        <item x="99"/>
        <item x="986"/>
        <item x="449"/>
        <item x="299"/>
        <item x="649"/>
        <item x="616"/>
        <item x="694"/>
        <item x="36"/>
        <item x="166"/>
        <item x="98"/>
        <item x="629"/>
        <item x="15"/>
        <item x="387"/>
        <item x="34"/>
        <item x="235"/>
        <item x="924"/>
        <item x="952"/>
        <item x="655"/>
        <item x="660"/>
        <item x="763"/>
        <item x="958"/>
        <item x="549"/>
        <item x="85"/>
        <item x="486"/>
        <item x="879"/>
        <item x="677"/>
        <item x="419"/>
        <item x="804"/>
        <item x="794"/>
        <item x="271"/>
        <item x="181"/>
        <item x="413"/>
        <item x="354"/>
        <item x="247"/>
        <item x="82"/>
        <item x="568"/>
        <item x="717"/>
        <item x="251"/>
        <item x="641"/>
        <item x="485"/>
        <item x="221"/>
        <item x="741"/>
        <item x="783"/>
        <item x="276"/>
        <item x="827"/>
        <item x="747"/>
        <item x="422"/>
        <item x="830"/>
        <item x="414"/>
        <item x="494"/>
        <item x="936"/>
        <item x="468"/>
        <item x="464"/>
        <item x="844"/>
        <item x="766"/>
        <item x="862"/>
        <item x="463"/>
        <item x="626"/>
        <item x="281"/>
        <item x="10"/>
        <item x="45"/>
        <item x="286"/>
        <item x="199"/>
        <item x="471"/>
        <item x="474"/>
        <item x="189"/>
        <item x="942"/>
        <item x="70"/>
        <item x="505"/>
        <item x="390"/>
        <item x="170"/>
        <item x="273"/>
        <item x="767"/>
        <item x="812"/>
        <item x="315"/>
        <item x="736"/>
        <item x="978"/>
        <item x="30"/>
        <item x="156"/>
        <item x="793"/>
        <item x="125"/>
        <item x="43"/>
        <item x="155"/>
        <item x="294"/>
        <item x="864"/>
        <item x="577"/>
        <item x="729"/>
        <item x="77"/>
        <item x="601"/>
        <item x="250"/>
        <item x="834"/>
        <item x="545"/>
        <item x="457"/>
        <item x="270"/>
        <item x="395"/>
        <item x="905"/>
        <item x="886"/>
        <item x="160"/>
        <item x="493"/>
        <item x="144"/>
        <item x="906"/>
        <item x="256"/>
        <item x="580"/>
        <item x="871"/>
        <item x="705"/>
        <item x="870"/>
        <item x="583"/>
        <item x="431"/>
        <item x="123"/>
        <item x="102"/>
        <item x="302"/>
        <item x="623"/>
        <item x="443"/>
        <item x="720"/>
        <item x="482"/>
        <item x="53"/>
        <item x="35"/>
        <item x="945"/>
        <item x="39"/>
        <item x="51"/>
        <item x="458"/>
        <item x="602"/>
        <item x="9"/>
        <item x="926"/>
        <item x="366"/>
        <item x="476"/>
        <item x="848"/>
        <item x="396"/>
        <item x="306"/>
        <item x="169"/>
        <item x="761"/>
        <item x="232"/>
        <item x="58"/>
        <item x="345"/>
        <item x="913"/>
        <item x="223"/>
        <item x="348"/>
        <item x="174"/>
        <item x="331"/>
        <item x="852"/>
        <item x="815"/>
        <item x="426"/>
        <item x="392"/>
        <item x="42"/>
        <item x="158"/>
        <item x="94"/>
        <item x="857"/>
        <item x="876"/>
        <item x="846"/>
        <item x="115"/>
        <item x="439"/>
        <item x="698"/>
        <item x="801"/>
        <item x="949"/>
        <item x="398"/>
        <item x="755"/>
        <item x="753"/>
        <item x="982"/>
        <item x="567"/>
        <item x="358"/>
        <item x="950"/>
        <item x="81"/>
        <item x="704"/>
        <item x="833"/>
        <item x="95"/>
        <item x="547"/>
        <item x="561"/>
        <item x="253"/>
        <item x="716"/>
        <item x="198"/>
        <item x="68"/>
        <item x="947"/>
        <item x="114"/>
        <item x="832"/>
        <item x="849"/>
        <item x="84"/>
        <item x="512"/>
        <item x="212"/>
        <item x="405"/>
        <item x="472"/>
        <item x="773"/>
        <item x="127"/>
        <item x="757"/>
        <item x="475"/>
        <item x="389"/>
        <item x="615"/>
        <item x="659"/>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items count="3">
        <item h="1" x="1"/>
        <item x="0"/>
        <item t="default"/>
      </items>
    </pivotField>
    <pivotField compact="0" outline="0" showAll="0"/>
    <pivotField compact="0" outline="0" showAll="0"/>
  </pivotFields>
  <rowFields count="1">
    <field x="6"/>
  </rowFields>
  <rowItems count="5">
    <i>
      <x v="885"/>
    </i>
    <i>
      <x v="524"/>
    </i>
    <i>
      <x v="234"/>
    </i>
    <i>
      <x v="27"/>
    </i>
    <i>
      <x v="665"/>
    </i>
  </rowItems>
  <colItems count="1">
    <i/>
  </colItems>
  <dataFields count="1">
    <dataField name="Earnings" fld="8" baseField="6" baseItem="0" numFmtId="164"/>
  </dataFields>
  <formats count="13">
    <format dxfId="25">
      <pivotArea outline="0" collapsedLevelsAreSubtotals="1" fieldPosition="0"/>
    </format>
    <format dxfId="24">
      <pivotArea type="all" dataOnly="0" outline="0" fieldPosition="0"/>
    </format>
    <format dxfId="23">
      <pivotArea outline="0" collapsedLevelsAreSubtotals="1" fieldPosition="0"/>
    </format>
    <format dxfId="22">
      <pivotArea field="6" type="button" dataOnly="0" labelOnly="1" outline="0" axis="axisRow" fieldPosition="0"/>
    </format>
    <format dxfId="21">
      <pivotArea dataOnly="0" labelOnly="1" outline="0" fieldPosition="0">
        <references count="1">
          <reference field="6" count="5">
            <x v="188"/>
            <x v="393"/>
            <x v="426"/>
            <x v="654"/>
            <x v="766"/>
          </reference>
        </references>
      </pivotArea>
    </format>
    <format dxfId="20">
      <pivotArea dataOnly="0" labelOnly="1" outline="0" axis="axisValues" fieldPosition="0"/>
    </format>
    <format dxfId="19">
      <pivotArea outline="0" collapsedLevelsAreSubtotals="1" fieldPosition="0"/>
    </format>
    <format dxfId="18">
      <pivotArea dataOnly="0" labelOnly="1" outline="0" fieldPosition="0">
        <references count="1">
          <reference field="6" count="5">
            <x v="188"/>
            <x v="393"/>
            <x v="426"/>
            <x v="654"/>
            <x v="766"/>
          </reference>
        </references>
      </pivotArea>
    </format>
    <format dxfId="17">
      <pivotArea outline="0" collapsedLevelsAreSubtotals="1" fieldPosition="0"/>
    </format>
    <format dxfId="16">
      <pivotArea dataOnly="0" labelOnly="1" outline="0" fieldPosition="0">
        <references count="1">
          <reference field="6" count="5">
            <x v="188"/>
            <x v="393"/>
            <x v="426"/>
            <x v="654"/>
            <x v="766"/>
          </reference>
        </references>
      </pivotArea>
    </format>
    <format dxfId="15">
      <pivotArea field="6" type="button" dataOnly="0" labelOnly="1" outline="0" axis="axisRow" fieldPosition="0"/>
    </format>
    <format dxfId="14">
      <pivotArea dataOnly="0" labelOnly="1" outline="0" axis="axisValues" fieldPosition="0"/>
    </format>
    <format dxfId="13">
      <pivotArea dataOnly="0" labelOnly="1" outline="0" fieldPosition="0">
        <references count="1">
          <reference field="6" count="5">
            <x v="27"/>
            <x v="234"/>
            <x v="524"/>
            <x v="665"/>
            <x v="885"/>
          </reference>
        </references>
      </pivotArea>
    </format>
  </formats>
  <pivotTableStyleInfo name="PivotStyleMedium21"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E9941C-2258-4ACF-81F5-4A8975B0D159}" name="PivotTable12" cacheId="2" applyNumberFormats="0" applyBorderFormats="0" applyFontFormats="0" applyPatternFormats="0" applyAlignmentFormats="0" applyWidthHeightFormats="1" dataCaption="Values" updatedVersion="7" minRefreshableVersion="3" rowGrandTotals="0" colGrandTotals="0" itemPrintTitles="1" createdVersion="7" indent="0" compact="0" compactData="0" multipleFieldFilters="0" chartFormat="5">
  <location ref="S5:T7" firstHeaderRow="1" firstDataRow="1" firstDataCol="1"/>
  <pivotFields count="13">
    <pivotField dataField="1"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3">
        <item h="1" x="1"/>
        <item x="0"/>
        <item t="default"/>
      </items>
    </pivotField>
    <pivotField compact="0" outline="0" showAll="0"/>
    <pivotField compact="0" outline="0" showAll="0"/>
  </pivotFields>
  <rowFields count="1">
    <field x="9"/>
  </rowFields>
  <rowItems count="2">
    <i>
      <x/>
    </i>
    <i>
      <x v="1"/>
    </i>
  </rowItems>
  <colItems count="1">
    <i/>
  </colItems>
  <dataFields count="1">
    <dataField name="Count of patient_id" fld="0" subtotal="count" showDataAs="percentOfCol" baseField="9" baseItem="0" numFmtId="10"/>
  </dataFields>
  <chartFormats count="3">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9" count="1" selected="0">
            <x v="0"/>
          </reference>
        </references>
      </pivotArea>
    </chartFormat>
    <chartFormat chart="2" format="1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94A98B-05E3-4B17-ACBE-2BEE3B683FD0}" name="PivotTable4" cacheId="2" applyNumberFormats="0" applyBorderFormats="0" applyFontFormats="0" applyPatternFormats="0" applyAlignmentFormats="0" applyWidthHeightFormats="1" dataCaption="Values" updatedVersion="7" minRefreshableVersion="3" rowGrandTotals="0" colGrandTotals="0" itemPrintTitles="1" createdVersion="7" indent="0" compact="0" compactData="0" multipleFieldFilters="0" chartFormat="2">
  <location ref="M14:N16" firstHeaderRow="1" firstDataRow="1" firstDataCol="1"/>
  <pivotFields count="13">
    <pivotField dataField="1"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3">
        <item h="1" x="1"/>
        <item x="0"/>
        <item t="default"/>
      </items>
    </pivotField>
    <pivotField compact="0" outline="0" showAll="0"/>
    <pivotField compact="0" outline="0" showAll="0"/>
  </pivotFields>
  <rowFields count="1">
    <field x="9"/>
  </rowFields>
  <rowItems count="2">
    <i>
      <x/>
    </i>
    <i>
      <x v="1"/>
    </i>
  </rowItems>
  <colItems count="1">
    <i/>
  </colItems>
  <dataFields count="1">
    <dataField name="Count of patient_id" fld="0" subtotal="count" showDataAs="percentOfCol" baseField="9"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D8E9F5-0D4C-4B64-9ECB-F558CA5E1883}" name="PivotTable11" cacheId="2" applyNumberFormats="0" applyBorderFormats="0" applyFontFormats="0" applyPatternFormats="0" applyAlignmentFormats="0" applyWidthHeightFormats="1" dataCaption="Values" updatedVersion="7" minRefreshableVersion="3" rowGrandTotals="0" colGrandTotals="0" itemPrintTitles="1" createdVersion="7" indent="0" compact="0" compactData="0" multipleFieldFilters="0" chartFormat="2">
  <location ref="M11:M12" firstHeaderRow="1" firstDataRow="1" firstDataCol="0"/>
  <pivotFields count="13">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items count="3">
        <item h="1" x="1"/>
        <item x="0"/>
        <item t="default"/>
      </items>
    </pivotField>
    <pivotField compact="0" outline="0" showAll="0"/>
    <pivotField compact="0" outline="0" showAll="0"/>
  </pivotFields>
  <rowItems count="1">
    <i/>
  </rowItems>
  <colItems count="1">
    <i/>
  </colItems>
  <dataFields count="1">
    <dataField name="Average of billing_amount(USD)" fld="8" subtotal="average" baseField="0" baseItem="9" numFmtId="2"/>
  </dataFields>
  <formats count="1">
    <format dxfId="26">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17E8B8-203B-441E-9E56-1210338CD0DA}" name="PivotTable3" cacheId="2" applyNumberFormats="0" applyBorderFormats="0" applyFontFormats="0" applyPatternFormats="0" applyAlignmentFormats="0" applyWidthHeightFormats="1" dataCaption="Values" updatedVersion="7" minRefreshableVersion="3" rowGrandTotals="0" colGrandTotals="0" itemPrintTitles="1" createdVersion="7" indent="0" compact="0" compactData="0" multipleFieldFilters="0" chartFormat="2">
  <location ref="M5:N6" firstHeaderRow="1" firstDataRow="1" firstDataCol="1"/>
  <pivotFields count="13">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dataField="1" compact="0" outline="0" showAll="0"/>
    <pivotField compact="0" outline="0" showAll="0"/>
    <pivotField axis="axisRow" compact="0" outline="0" showAll="0">
      <items count="3">
        <item h="1" x="1"/>
        <item x="0"/>
        <item t="default"/>
      </items>
    </pivotField>
    <pivotField compact="0" outline="0" showAll="0"/>
    <pivotField compact="0" outline="0" showAll="0"/>
  </pivotFields>
  <rowFields count="1">
    <field x="10"/>
  </rowFields>
  <rowItems count="1">
    <i>
      <x v="1"/>
    </i>
  </rowItems>
  <colItems count="1">
    <i/>
  </colItems>
  <dataFields count="1">
    <dataField name="amount(USD)" fld="8" baseField="7"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DE5474-4DAB-408C-A6C5-10518961E880}" name="PivotTable8" cacheId="2" applyNumberFormats="0" applyBorderFormats="0" applyFontFormats="0" applyPatternFormats="0" applyAlignmentFormats="0" applyWidthHeightFormats="1" dataCaption="Values" updatedVersion="7" minRefreshableVersion="3" rowGrandTotals="0" colGrandTotals="0" itemPrintTitles="1" createdVersion="7" indent="0" compact="0" compactData="0" multipleFieldFilters="0" chartFormat="2">
  <location ref="N9:N10" firstHeaderRow="1" firstDataRow="1" firstDataCol="0"/>
  <pivotFields count="13">
    <pivotField compact="0" outline="0" showAll="0"/>
    <pivotField compact="0" outline="0" showAll="0"/>
    <pivotField compact="0" outline="0" showAll="0"/>
    <pivotField compact="0" outline="0" showAll="0"/>
    <pivotField dataField="1" compact="0" numFmtId="14" outline="0" showAll="0"/>
    <pivotField compact="0" numFmtId="14" outline="0" showAll="0"/>
    <pivotField compact="0" outline="0" showAll="0"/>
    <pivotField compact="0" outline="0" showAll="0"/>
    <pivotField compact="0" outline="0" showAll="0"/>
    <pivotField compact="0" outline="0" showAll="0"/>
    <pivotField compact="0" outline="0" showAll="0">
      <items count="3">
        <item h="1" x="1"/>
        <item x="0"/>
        <item t="default"/>
      </items>
    </pivotField>
    <pivotField compact="0" outline="0" showAll="0"/>
    <pivotField compact="0" outline="0" showAll="0"/>
  </pivotFields>
  <rowItems count="1">
    <i/>
  </rowItems>
  <colItems count="1">
    <i/>
  </colItems>
  <dataFields count="1">
    <dataField name="Count of appointment_date" fld="4" subtotal="count" baseField="0" baseItem="0"/>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5B7DA4-95EB-4891-A7E3-0615ACA966C0}" name="PivotTable15"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AY16:AZ19" firstHeaderRow="1" firstDataRow="1" firstDataCol="1"/>
  <pivotFields count="13">
    <pivotField dataField="1" showAll="0"/>
    <pivotField showAll="0"/>
    <pivotField showAll="0"/>
    <pivotField axis="axisRow" showAll="0">
      <items count="4">
        <item x="0"/>
        <item x="1"/>
        <item n="Unknown" x="2"/>
        <item t="default"/>
      </items>
    </pivotField>
    <pivotField numFmtId="14" showAll="0"/>
    <pivotField numFmtId="14" showAll="0"/>
    <pivotField showAll="0"/>
    <pivotField showAll="0"/>
    <pivotField showAll="0"/>
    <pivotField showAll="0"/>
    <pivotField showAll="0">
      <items count="3">
        <item h="1" x="1"/>
        <item x="0"/>
        <item t="default"/>
      </items>
    </pivotField>
    <pivotField showAll="0"/>
    <pivotField showAll="0"/>
  </pivotFields>
  <rowFields count="1">
    <field x="3"/>
  </rowFields>
  <rowItems count="3">
    <i>
      <x/>
    </i>
    <i>
      <x v="1"/>
    </i>
    <i>
      <x v="2"/>
    </i>
  </rowItems>
  <colItems count="1">
    <i/>
  </colItems>
  <dataFields count="1">
    <dataField name="Count of patient_id" fld="0" subtotal="count" showDataAs="percentOfCol" baseField="3"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EAB611-12BC-4E53-A440-B7EB6DA030E4}" name="PivotTable2" cacheId="2" applyNumberFormats="0" applyBorderFormats="0" applyFontFormats="0" applyPatternFormats="0" applyAlignmentFormats="0" applyWidthHeightFormats="1" dataCaption="Values" updatedVersion="7" minRefreshableVersion="3" rowGrandTotals="0" colGrandTotals="0" itemPrintTitles="1" createdVersion="7" indent="0" compact="0" compactData="0" multipleFieldFilters="0" chartFormat="2">
  <location ref="J4:K8" firstHeaderRow="1" firstDataRow="1" firstDataCol="1"/>
  <pivotFields count="13">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axis="axisRow" compact="0" outline="0" showAll="0" sortType="ascending">
      <items count="5">
        <item x="0"/>
        <item x="3"/>
        <item x="2"/>
        <item x="1"/>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items count="3">
        <item h="1" x="1"/>
        <item x="0"/>
        <item t="default"/>
      </items>
    </pivotField>
    <pivotField compact="0" outline="0" showAll="0"/>
    <pivotField compact="0" outline="0" showAll="0"/>
  </pivotFields>
  <rowFields count="1">
    <field x="7"/>
  </rowFields>
  <rowItems count="4">
    <i>
      <x/>
    </i>
    <i>
      <x v="3"/>
    </i>
    <i>
      <x v="1"/>
    </i>
    <i>
      <x v="2"/>
    </i>
  </rowItems>
  <colItems count="1">
    <i/>
  </colItems>
  <dataFields count="1">
    <dataField name="Sum of billing_amount(USD)" fld="8" baseField="7"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D05F5F-BCE4-461F-B24D-9632B66F09F4}" name="PivotTable7" cacheId="2" applyNumberFormats="0" applyBorderFormats="0" applyFontFormats="0" applyPatternFormats="0" applyAlignmentFormats="0" applyWidthHeightFormats="1" dataCaption="Values" updatedVersion="7" minRefreshableVersion="3" rowGrandTotals="0" colGrandTotals="0" itemPrintTitles="1" createdVersion="7" indent="0" compact="0" compactData="0" multipleFieldFilters="0" chartFormat="2">
  <location ref="M9:M10" firstHeaderRow="1" firstDataRow="1" firstDataCol="0"/>
  <pivotFields count="13">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items count="3">
        <item h="1" x="1"/>
        <item x="0"/>
        <item t="default"/>
      </items>
    </pivotField>
    <pivotField compact="0" outline="0" showAll="0"/>
    <pivotField compact="0" outline="0" showAll="0"/>
  </pivotFields>
  <rowItems count="1">
    <i/>
  </rowItems>
  <colItems count="1">
    <i/>
  </colItems>
  <dataFields count="1">
    <dataField name="amount(USD)" fld="8" baseField="7"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FF5F3E3-ACCE-4292-A131-75948FD4333F}" name="PivotTable1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Y11:AY12" firstHeaderRow="1" firstDataRow="1" firstDataCol="0"/>
  <pivotFields count="13">
    <pivotField showAll="0"/>
    <pivotField showAll="0"/>
    <pivotField showAll="0"/>
    <pivotField showAll="0"/>
    <pivotField numFmtId="14" showAll="0"/>
    <pivotField numFmtId="14" showAll="0"/>
    <pivotField showAll="0"/>
    <pivotField showAll="0"/>
    <pivotField showAll="0"/>
    <pivotField showAll="0"/>
    <pivotField showAll="0">
      <items count="3">
        <item h="1" x="1"/>
        <item x="0"/>
        <item t="default"/>
      </items>
    </pivotField>
    <pivotField showAll="0"/>
    <pivotField dataField="1" showAll="0"/>
  </pivotFields>
  <rowItems count="1">
    <i/>
  </rowItems>
  <colItems count="1">
    <i/>
  </colItems>
  <dataFields count="1">
    <dataField name="Average of lead days" fld="12" subtotal="average" baseField="0" baseItem="9" numFmtId="2"/>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A3E7A6F-A017-4907-B7A4-C0C401BF254A}" name="age range vs follow up" cacheId="2" applyNumberFormats="0" applyBorderFormats="0" applyFontFormats="0" applyPatternFormats="0" applyAlignmentFormats="0" applyWidthHeightFormats="1" dataCaption="Values" updatedVersion="7" minRefreshableVersion="3" rowGrandTotals="0" colGrandTotals="0" itemPrintTitles="1" createdVersion="7" indent="0" compact="0" compactData="0" multipleFieldFilters="0" chartFormat="1">
  <location ref="AN26:AO33" firstHeaderRow="1" firstDataRow="1" firstDataCol="1"/>
  <pivotFields count="13">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dataField="1" compact="0" outline="0" showAll="0"/>
    <pivotField compact="0" outline="0" showAll="0">
      <items count="3">
        <item h="1" x="1"/>
        <item x="0"/>
        <item t="default"/>
      </items>
    </pivotField>
    <pivotField name="Age Range" axis="axisRow" compact="0" outline="0" showAll="0">
      <items count="8">
        <item x="3"/>
        <item x="5"/>
        <item x="2"/>
        <item x="4"/>
        <item x="1"/>
        <item x="0"/>
        <item x="6"/>
        <item t="default"/>
      </items>
    </pivotField>
    <pivotField compact="0" outline="0" showAll="0"/>
  </pivotFields>
  <rowFields count="1">
    <field x="11"/>
  </rowFields>
  <rowItems count="7">
    <i>
      <x/>
    </i>
    <i>
      <x v="1"/>
    </i>
    <i>
      <x v="2"/>
    </i>
    <i>
      <x v="3"/>
    </i>
    <i>
      <x v="4"/>
    </i>
    <i>
      <x v="5"/>
    </i>
    <i>
      <x v="6"/>
    </i>
  </rowItems>
  <colItems count="1">
    <i/>
  </colItems>
  <dataFields count="1">
    <dataField name="Follow Up" fld="9" subtotal="count" showDataAs="percentOfCol" baseField="0" baseItem="0" numFmtId="10"/>
  </dataFields>
  <formats count="10">
    <format dxfId="38">
      <pivotArea type="all" dataOnly="0" outline="0" fieldPosition="0"/>
    </format>
    <format dxfId="37">
      <pivotArea outline="0" collapsedLevelsAreSubtotals="1" fieldPosition="0"/>
    </format>
    <format dxfId="36">
      <pivotArea field="11" type="button" dataOnly="0" labelOnly="1" outline="0" axis="axisRow" fieldPosition="0"/>
    </format>
    <format dxfId="35">
      <pivotArea dataOnly="0" labelOnly="1" outline="0" fieldPosition="0">
        <references count="1">
          <reference field="11" count="0"/>
        </references>
      </pivotArea>
    </format>
    <format dxfId="34">
      <pivotArea dataOnly="0" labelOnly="1" outline="0" axis="axisValues" fieldPosition="0"/>
    </format>
    <format dxfId="33">
      <pivotArea dataOnly="0" labelOnly="1" outline="0" fieldPosition="0">
        <references count="1">
          <reference field="11" count="1">
            <x v="0"/>
          </reference>
        </references>
      </pivotArea>
    </format>
    <format dxfId="32">
      <pivotArea outline="0" collapsedLevelsAreSubtotals="1" fieldPosition="0"/>
    </format>
    <format dxfId="31">
      <pivotArea dataOnly="0" labelOnly="1" outline="0" fieldPosition="0">
        <references count="1">
          <reference field="11" count="0"/>
        </references>
      </pivotArea>
    </format>
    <format dxfId="30">
      <pivotArea field="11" type="button" dataOnly="0" labelOnly="1" outline="0" axis="axisRow" fieldPosition="0"/>
    </format>
    <format dxfId="29">
      <pivotArea dataOnly="0" labelOnly="1" outline="0" axis="axisValues" fieldPosition="0"/>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D5947B9-CFCF-4DB3-BAA2-09FAD1AEC029}" name="PivotTable1" cacheId="2" applyNumberFormats="0" applyBorderFormats="0" applyFontFormats="0" applyPatternFormats="0" applyAlignmentFormats="0" applyWidthHeightFormats="1" dataCaption="Values" updatedVersion="7" minRefreshableVersion="3" rowGrandTotals="0" colGrandTotals="0" itemPrintTitles="1" createdVersion="7" indent="0" compact="0" compactData="0" multipleFieldFilters="0" chartFormat="2">
  <location ref="A3:B7" firstHeaderRow="1" firstDataRow="1" firstDataCol="1"/>
  <pivotFields count="13">
    <pivotField dataField="1"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axis="axisRow" compact="0" outline="0" showAll="0">
      <items count="5">
        <item x="0"/>
        <item x="3"/>
        <item x="2"/>
        <item x="1"/>
        <item t="default"/>
      </items>
    </pivotField>
    <pivotField compact="0" outline="0" showAll="0"/>
    <pivotField compact="0" outline="0" showAll="0"/>
    <pivotField compact="0" outline="0" showAll="0">
      <items count="3">
        <item h="1" x="1"/>
        <item x="0"/>
        <item t="default"/>
      </items>
    </pivotField>
    <pivotField compact="0" outline="0" showAll="0"/>
    <pivotField compact="0" outline="0" showAll="0"/>
  </pivotFields>
  <rowFields count="1">
    <field x="7"/>
  </rowFields>
  <rowItems count="4">
    <i>
      <x/>
    </i>
    <i>
      <x v="1"/>
    </i>
    <i>
      <x v="2"/>
    </i>
    <i>
      <x v="3"/>
    </i>
  </rowItems>
  <colItems count="1">
    <i/>
  </colItems>
  <dataFields count="1">
    <dataField name="Count of patient_id" fld="0" subtotal="count" baseField="7"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4" name="PivotTable3"/>
    <pivotTable tabId="4" name="ageeeeeeeeee"/>
    <pivotTable tabId="4" name="PivotTable1"/>
    <pivotTable tabId="4" name="PivotTable11"/>
    <pivotTable tabId="4" name="PivotTable12"/>
    <pivotTable tabId="4" name="PivotTable2"/>
    <pivotTable tabId="4" name="PivotTable4"/>
    <pivotTable tabId="4" name="PivotTable5"/>
    <pivotTable tabId="4" name="PivotTable7"/>
    <pivotTable tabId="4" name="PivotTable8"/>
    <pivotTable tabId="4" name="age range vs follow up"/>
    <pivotTable tabId="4" name="PivotTable14"/>
    <pivotTable tabId="4" name="PivotTable15"/>
  </pivotTables>
  <data>
    <tabular pivotCacheId="1137490200" sortOrder="descending">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B7EC2F-8B15-4615-9713-A9FB39AAF8FB}" name="Table2" displayName="Table2" ref="A1:M1001" totalsRowShown="0" headerRowDxfId="12" tableBorderDxfId="11">
  <autoFilter ref="A1:M1001" xr:uid="{00000000-0009-0000-0000-000001000000}"/>
  <tableColumns count="13">
    <tableColumn id="1" xr3:uid="{0035A603-89A7-4370-A07F-7E901A4DBCC8}" name="patient_id" dataDxfId="10"/>
    <tableColumn id="2" xr3:uid="{5A596586-988D-46B8-B065-15BBAE8FFCF2}" name="patient_name" dataDxfId="9"/>
    <tableColumn id="3" xr3:uid="{C0F31617-BC93-48E4-9BD7-73A1A28261BD}" name="age" dataDxfId="8"/>
    <tableColumn id="4" xr3:uid="{A7F28A75-CFFB-4305-8D9C-9DBB3619DA9D}" name="gender" dataDxfId="7"/>
    <tableColumn id="5" xr3:uid="{BA585C27-9E31-4EAB-AD2C-DC0FFA0E1359}" name="appointment_date" dataDxfId="6"/>
    <tableColumn id="6" xr3:uid="{CE6AEA5D-C348-49A3-87EA-555563DF2C41}" name="booking_date" dataDxfId="5"/>
    <tableColumn id="7" xr3:uid="{F193AAF8-C43A-4325-A63D-B70BA16F689D}" name="doctor" dataDxfId="4"/>
    <tableColumn id="8" xr3:uid="{DE213745-7F05-4473-BBCD-BC3E599FDD86}" name="department" dataDxfId="3"/>
    <tableColumn id="9" xr3:uid="{EE1FCE5A-126D-4D8F-92BD-BAB96D6AFF77}" name="billing_amount(USD)" dataDxfId="2"/>
    <tableColumn id="10" xr3:uid="{FB6A21B2-785F-41A7-9D2A-D6B9E7534DE7}" name="follow_up_required" dataDxfId="1"/>
    <tableColumn id="11" xr3:uid="{802E0F6B-8555-45EC-8F2B-2E492C8E3340}" name="year">
      <calculatedColumnFormula>YEAR(E2)</calculatedColumnFormula>
    </tableColumn>
    <tableColumn id="12" xr3:uid="{F9FCCF47-5249-4C7F-818F-2D70B34FDA9F}" name="age_range">
      <calculatedColumnFormula>IF(C2="","",IF(C2&lt;=30,"18-30",IF(C2&lt;=40,"31-40",IF(C2&lt;=50,"41-50",IF(C2&lt;=60,"51-60",IF(C2&lt;=70,"61-70",IF(C2&lt;=80,"71-80","81-90")))))))</calculatedColumnFormula>
    </tableColumn>
    <tableColumn id="13" xr3:uid="{9F2B0E09-F0BC-4E36-9677-C60CBE857A11}" name="lead days" dataDxfId="0">
      <calculatedColumnFormula>Table2[[#This Row],[appointment_date]]-Table2[[#This Row],[booking_date]]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1001" totalsRowShown="0">
  <tableColumns count="10">
    <tableColumn id="1" xr3:uid="{00000000-0010-0000-0000-000001000000}" name="patient_id"/>
    <tableColumn id="2" xr3:uid="{00000000-0010-0000-0000-000002000000}" name="patient_name"/>
    <tableColumn id="3" xr3:uid="{00000000-0010-0000-0000-000003000000}" name="age"/>
    <tableColumn id="4" xr3:uid="{00000000-0010-0000-0000-000004000000}" name="gender"/>
    <tableColumn id="5" xr3:uid="{00000000-0010-0000-0000-000005000000}" name="appointment_date"/>
    <tableColumn id="6" xr3:uid="{00000000-0010-0000-0000-000006000000}" name="booking_date"/>
    <tableColumn id="7" xr3:uid="{00000000-0010-0000-0000-000007000000}" name="doctor"/>
    <tableColumn id="8" xr3:uid="{00000000-0010-0000-0000-000008000000}" name="department"/>
    <tableColumn id="9" xr3:uid="{00000000-0010-0000-0000-000009000000}" name="billing_amount"/>
    <tableColumn id="10" xr3:uid="{00000000-0010-0000-0000-00000A000000}" name="follow_up_require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2DEBF48-3AF3-4E0C-93F1-98084F135893}">
  <we:reference id="wa200010215" version="2.0.0.1" store="en-US" storeType="OMEX"/>
  <we:alternateReferences>
    <we:reference id="wa200010215" version="2.0.0.1" store="WA200010215" storeType="OMEX"/>
  </we:alternateReferences>
  <we:properties>
    <we:property name="bps.codex_control.document_id" value="&quot;2c5b1b56-faf0-4316-81ff-0a10b9c4933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33"/>
  <sheetViews>
    <sheetView tabSelected="1" topLeftCell="AA1" zoomScale="115" zoomScaleNormal="115" workbookViewId="0">
      <selection activeCell="P47" sqref="P47"/>
    </sheetView>
  </sheetViews>
  <sheetFormatPr defaultRowHeight="15" x14ac:dyDescent="0.25"/>
  <cols>
    <col min="1" max="1" width="13.85546875" bestFit="1" customWidth="1"/>
    <col min="2" max="2" width="18.42578125" bestFit="1" customWidth="1"/>
    <col min="10" max="10" width="13.85546875" bestFit="1" customWidth="1"/>
    <col min="11" max="12" width="26.7109375" bestFit="1" customWidth="1"/>
    <col min="13" max="13" width="13.28515625" customWidth="1"/>
    <col min="14" max="14" width="16.85546875" customWidth="1"/>
    <col min="16" max="16" width="12.42578125" bestFit="1" customWidth="1"/>
    <col min="17" max="17" width="18.42578125" bestFit="1" customWidth="1"/>
    <col min="18" max="19" width="12.42578125" bestFit="1" customWidth="1"/>
    <col min="20" max="20" width="11.42578125" customWidth="1"/>
    <col min="22" max="22" width="9.5703125" customWidth="1"/>
    <col min="37" max="37" width="10.28515625" customWidth="1"/>
    <col min="38" max="38" width="9.140625" customWidth="1"/>
    <col min="39" max="39" width="6.140625" customWidth="1"/>
    <col min="40" max="40" width="17.7109375" customWidth="1"/>
    <col min="41" max="41" width="10" customWidth="1"/>
    <col min="42" max="42" width="0.28515625" customWidth="1"/>
    <col min="43" max="43" width="6" hidden="1" customWidth="1"/>
    <col min="44" max="47" width="9.140625" hidden="1" customWidth="1"/>
    <col min="48" max="48" width="0.140625" customWidth="1"/>
    <col min="49" max="49" width="2.140625" hidden="1" customWidth="1"/>
    <col min="51" max="51" width="13.140625" bestFit="1" customWidth="1"/>
    <col min="52" max="52" width="18.42578125" bestFit="1" customWidth="1"/>
  </cols>
  <sheetData>
    <row r="1" spans="1:52" x14ac:dyDescent="0.25">
      <c r="Y1" s="24" t="s">
        <v>2707</v>
      </c>
      <c r="Z1" s="25"/>
      <c r="AA1" s="25"/>
      <c r="AB1" s="25"/>
      <c r="AC1" s="25"/>
      <c r="AD1" s="25"/>
      <c r="AE1" s="25"/>
      <c r="AF1" s="25"/>
      <c r="AG1" s="25"/>
      <c r="AH1" s="25"/>
      <c r="AI1" s="25"/>
      <c r="AJ1" s="25"/>
      <c r="AK1" s="25"/>
      <c r="AL1" s="25"/>
      <c r="AM1" s="25"/>
      <c r="AN1" s="25"/>
      <c r="AO1" s="25"/>
      <c r="AP1" s="25"/>
      <c r="AQ1" s="25"/>
      <c r="AR1" s="25"/>
      <c r="AS1" s="25"/>
      <c r="AT1" s="25"/>
      <c r="AU1" s="25"/>
      <c r="AV1" s="25"/>
      <c r="AW1" s="26"/>
    </row>
    <row r="2" spans="1:52" ht="15.75" thickBot="1" x14ac:dyDescent="0.3">
      <c r="Y2" s="27"/>
      <c r="Z2" s="28"/>
      <c r="AA2" s="28"/>
      <c r="AB2" s="28"/>
      <c r="AC2" s="28"/>
      <c r="AD2" s="28"/>
      <c r="AE2" s="28"/>
      <c r="AF2" s="28"/>
      <c r="AG2" s="28"/>
      <c r="AH2" s="28"/>
      <c r="AI2" s="28"/>
      <c r="AJ2" s="28"/>
      <c r="AK2" s="28"/>
      <c r="AL2" s="28"/>
      <c r="AM2" s="28"/>
      <c r="AN2" s="28"/>
      <c r="AO2" s="28"/>
      <c r="AP2" s="28"/>
      <c r="AQ2" s="28"/>
      <c r="AR2" s="28"/>
      <c r="AS2" s="28"/>
      <c r="AT2" s="28"/>
      <c r="AU2" s="28"/>
      <c r="AV2" s="28"/>
      <c r="AW2" s="29"/>
    </row>
    <row r="3" spans="1:52" x14ac:dyDescent="0.25">
      <c r="A3" s="12" t="s">
        <v>7</v>
      </c>
      <c r="B3" t="s">
        <v>2695</v>
      </c>
      <c r="P3" s="12" t="s">
        <v>2700</v>
      </c>
      <c r="Q3" t="s">
        <v>2695</v>
      </c>
      <c r="Y3" s="14"/>
      <c r="Z3" s="14"/>
      <c r="AA3" s="14"/>
      <c r="AB3" s="14"/>
      <c r="AC3" s="14"/>
      <c r="AD3" s="14"/>
      <c r="AE3" s="14"/>
      <c r="AF3" s="14"/>
      <c r="AG3" s="14"/>
      <c r="AH3" s="14"/>
      <c r="AI3" s="14"/>
      <c r="AJ3" s="14"/>
      <c r="AK3" s="14"/>
      <c r="AL3" s="14"/>
      <c r="AM3" s="14"/>
      <c r="AN3" s="14"/>
      <c r="AO3" s="14"/>
      <c r="AP3" s="14"/>
      <c r="AQ3" s="14"/>
      <c r="AR3" s="14"/>
      <c r="AS3" s="14"/>
      <c r="AT3" s="14"/>
      <c r="AU3" s="14"/>
      <c r="AV3" s="14"/>
      <c r="AW3" s="14"/>
    </row>
    <row r="4" spans="1:52" x14ac:dyDescent="0.25">
      <c r="A4" t="s">
        <v>13</v>
      </c>
      <c r="B4" s="1">
        <v>58</v>
      </c>
      <c r="J4" s="12" t="s">
        <v>7</v>
      </c>
      <c r="K4" t="s">
        <v>2696</v>
      </c>
      <c r="P4" t="s">
        <v>2697</v>
      </c>
      <c r="Q4" s="1">
        <v>47</v>
      </c>
      <c r="Y4" s="14"/>
      <c r="Z4" s="14"/>
      <c r="AA4" s="14"/>
      <c r="AB4" s="14"/>
      <c r="AC4" s="14"/>
      <c r="AD4" s="14"/>
      <c r="AE4" s="14"/>
      <c r="AF4" s="14"/>
      <c r="AG4" s="14"/>
      <c r="AH4" s="14"/>
      <c r="AI4" s="14"/>
      <c r="AJ4" s="14"/>
      <c r="AK4" s="14"/>
      <c r="AL4" s="14"/>
      <c r="AM4" s="14"/>
      <c r="AN4" s="14"/>
      <c r="AO4" s="14"/>
      <c r="AP4" s="14"/>
      <c r="AQ4" s="14"/>
      <c r="AR4" s="14"/>
      <c r="AS4" s="14"/>
      <c r="AT4" s="14"/>
      <c r="AU4" s="14"/>
      <c r="AV4" s="14"/>
      <c r="AW4" s="14"/>
    </row>
    <row r="5" spans="1:52" x14ac:dyDescent="0.25">
      <c r="A5" t="s">
        <v>28</v>
      </c>
      <c r="B5" s="1">
        <v>64</v>
      </c>
      <c r="J5" t="s">
        <v>13</v>
      </c>
      <c r="K5" s="1">
        <v>13307.629999999997</v>
      </c>
      <c r="M5" s="12" t="s">
        <v>2698</v>
      </c>
      <c r="N5" t="s">
        <v>2699</v>
      </c>
      <c r="P5" t="s">
        <v>2701</v>
      </c>
      <c r="Q5" s="1">
        <v>37</v>
      </c>
      <c r="S5" s="12" t="s">
        <v>9</v>
      </c>
      <c r="T5" t="s">
        <v>2695</v>
      </c>
      <c r="Y5" s="14"/>
      <c r="Z5" s="14"/>
      <c r="AA5" s="14"/>
      <c r="AB5" s="14"/>
      <c r="AC5" s="14"/>
      <c r="AD5" s="14"/>
      <c r="AE5" s="14"/>
      <c r="AF5" s="14"/>
      <c r="AG5" s="14"/>
      <c r="AH5" s="14"/>
      <c r="AI5" s="14"/>
      <c r="AJ5" s="14"/>
      <c r="AK5" s="14"/>
      <c r="AL5" s="14"/>
      <c r="AM5" s="14"/>
      <c r="AN5" s="14"/>
      <c r="AO5" s="14"/>
      <c r="AP5" s="14"/>
      <c r="AQ5" s="14"/>
      <c r="AR5" s="14"/>
      <c r="AS5" s="14"/>
      <c r="AT5" s="14"/>
      <c r="AU5" s="14"/>
      <c r="AV5" s="14"/>
      <c r="AW5" s="14"/>
    </row>
    <row r="6" spans="1:52" x14ac:dyDescent="0.25">
      <c r="A6" t="s">
        <v>24</v>
      </c>
      <c r="B6" s="1">
        <v>66</v>
      </c>
      <c r="J6" t="s">
        <v>18</v>
      </c>
      <c r="K6" s="1">
        <v>13593.81</v>
      </c>
      <c r="M6">
        <v>2026</v>
      </c>
      <c r="N6" s="1">
        <v>58232.889999999992</v>
      </c>
      <c r="P6" t="s">
        <v>2702</v>
      </c>
      <c r="Q6" s="1">
        <v>26</v>
      </c>
      <c r="S6" t="s">
        <v>35</v>
      </c>
      <c r="T6" s="13">
        <v>0.5083333333333333</v>
      </c>
      <c r="Y6" s="14"/>
      <c r="Z6" s="14"/>
      <c r="AA6" s="14"/>
      <c r="AB6" s="14"/>
      <c r="AC6" s="14"/>
      <c r="AD6" s="14"/>
      <c r="AE6" s="14"/>
      <c r="AF6" s="14"/>
      <c r="AG6" s="14"/>
      <c r="AH6" s="14"/>
      <c r="AI6" s="14"/>
      <c r="AJ6" s="14"/>
      <c r="AK6" s="14"/>
      <c r="AL6" s="14"/>
      <c r="AM6" s="14"/>
      <c r="AN6" s="14"/>
      <c r="AO6" s="14"/>
      <c r="AP6" s="14"/>
      <c r="AQ6" s="14"/>
      <c r="AR6" s="14"/>
      <c r="AS6" s="14"/>
      <c r="AT6" s="14"/>
      <c r="AU6" s="14"/>
      <c r="AV6" s="14"/>
      <c r="AW6" s="14"/>
    </row>
    <row r="7" spans="1:52" x14ac:dyDescent="0.25">
      <c r="A7" t="s">
        <v>18</v>
      </c>
      <c r="B7" s="1">
        <v>52</v>
      </c>
      <c r="J7" t="s">
        <v>28</v>
      </c>
      <c r="K7" s="1">
        <v>15148.150000000001</v>
      </c>
      <c r="P7" t="s">
        <v>2703</v>
      </c>
      <c r="Q7" s="1">
        <v>32</v>
      </c>
      <c r="S7" t="s">
        <v>30</v>
      </c>
      <c r="T7" s="13">
        <v>0.49166666666666664</v>
      </c>
      <c r="Y7" s="14"/>
      <c r="Z7" s="14"/>
      <c r="AA7" s="14"/>
      <c r="AB7" s="14"/>
      <c r="AC7" s="14"/>
      <c r="AD7" s="14"/>
      <c r="AE7" s="14"/>
      <c r="AF7" s="14"/>
      <c r="AG7" s="14"/>
      <c r="AH7" s="14"/>
      <c r="AI7" s="14"/>
      <c r="AJ7" s="14"/>
      <c r="AK7" s="14"/>
      <c r="AL7" s="14"/>
      <c r="AM7" s="14"/>
      <c r="AN7" s="14"/>
      <c r="AO7" s="14"/>
      <c r="AP7" s="14"/>
      <c r="AQ7" s="14"/>
      <c r="AR7" s="14"/>
      <c r="AS7" s="14"/>
      <c r="AT7" s="14"/>
      <c r="AU7" s="14"/>
      <c r="AV7" s="14"/>
      <c r="AW7" s="14"/>
    </row>
    <row r="8" spans="1:52" x14ac:dyDescent="0.25">
      <c r="J8" t="s">
        <v>24</v>
      </c>
      <c r="K8" s="1">
        <v>16183.3</v>
      </c>
      <c r="P8" t="s">
        <v>2704</v>
      </c>
      <c r="Q8" s="1">
        <v>29</v>
      </c>
      <c r="Y8" s="14"/>
      <c r="Z8" s="14"/>
      <c r="AA8" s="14"/>
      <c r="AB8" s="14"/>
      <c r="AC8" s="14"/>
      <c r="AD8" s="14"/>
      <c r="AE8" s="14"/>
      <c r="AF8" s="14"/>
      <c r="AG8" s="14"/>
      <c r="AH8" s="14"/>
      <c r="AI8" s="14"/>
      <c r="AJ8" s="14"/>
      <c r="AK8" s="14"/>
      <c r="AL8" s="14"/>
      <c r="AM8" s="14"/>
      <c r="AN8" s="14"/>
      <c r="AO8" s="14"/>
      <c r="AP8" s="14"/>
      <c r="AQ8" s="14"/>
      <c r="AR8" s="14"/>
      <c r="AS8" s="14"/>
      <c r="AT8" s="14"/>
      <c r="AU8" s="14"/>
      <c r="AV8" s="14"/>
      <c r="AW8" s="14"/>
    </row>
    <row r="9" spans="1:52" x14ac:dyDescent="0.25">
      <c r="M9" t="s">
        <v>2699</v>
      </c>
      <c r="N9" t="s">
        <v>2708</v>
      </c>
      <c r="P9" t="s">
        <v>2705</v>
      </c>
      <c r="Q9" s="1">
        <v>32</v>
      </c>
      <c r="Y9" s="14"/>
      <c r="Z9" s="14"/>
      <c r="AA9" s="14"/>
      <c r="AB9" s="14"/>
      <c r="AC9" s="14"/>
      <c r="AD9" s="14"/>
      <c r="AE9" s="14"/>
      <c r="AF9" s="14"/>
      <c r="AG9" s="14"/>
      <c r="AH9" s="14"/>
      <c r="AI9" s="14"/>
      <c r="AJ9" s="14"/>
      <c r="AK9" s="14"/>
      <c r="AL9" s="14"/>
      <c r="AM9" s="14"/>
      <c r="AN9" s="14"/>
      <c r="AO9" s="14"/>
      <c r="AP9" s="14"/>
      <c r="AQ9" s="14"/>
      <c r="AR9" s="14"/>
      <c r="AS9" s="14"/>
      <c r="AT9" s="14"/>
      <c r="AU9" s="14"/>
      <c r="AV9" s="14"/>
      <c r="AW9" s="14"/>
    </row>
    <row r="10" spans="1:52" x14ac:dyDescent="0.25">
      <c r="M10" s="1">
        <v>58232.889999999992</v>
      </c>
      <c r="N10" s="15">
        <v>240</v>
      </c>
      <c r="P10" t="s">
        <v>2706</v>
      </c>
      <c r="Q10" s="1">
        <v>37</v>
      </c>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row>
    <row r="11" spans="1:52" x14ac:dyDescent="0.25">
      <c r="M11" t="s">
        <v>2709</v>
      </c>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Y11" t="s">
        <v>2716</v>
      </c>
    </row>
    <row r="12" spans="1:52" x14ac:dyDescent="0.25">
      <c r="M12" s="16">
        <v>252.09043290043286</v>
      </c>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Y12" s="16">
        <v>355.4375</v>
      </c>
    </row>
    <row r="13" spans="1:52" x14ac:dyDescent="0.25">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row>
    <row r="14" spans="1:52" x14ac:dyDescent="0.25">
      <c r="M14" s="12" t="s">
        <v>9</v>
      </c>
      <c r="N14" t="s">
        <v>2695</v>
      </c>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row>
    <row r="15" spans="1:52" x14ac:dyDescent="0.25">
      <c r="M15" t="s">
        <v>35</v>
      </c>
      <c r="N15" s="13">
        <v>0.5083333333333333</v>
      </c>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row>
    <row r="16" spans="1:52" x14ac:dyDescent="0.25">
      <c r="M16" t="s">
        <v>30</v>
      </c>
      <c r="N16" s="13">
        <v>0.49166666666666664</v>
      </c>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Y16" s="12" t="s">
        <v>2710</v>
      </c>
      <c r="AZ16" t="s">
        <v>2695</v>
      </c>
    </row>
    <row r="17" spans="12:52" x14ac:dyDescent="0.25">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Y17" s="17" t="s">
        <v>37</v>
      </c>
      <c r="AZ17" s="13">
        <v>0.51249999999999996</v>
      </c>
    </row>
    <row r="18" spans="12:52" x14ac:dyDescent="0.25">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Y18" s="17" t="s">
        <v>68</v>
      </c>
      <c r="AZ18" s="13">
        <v>0.44583333333333336</v>
      </c>
    </row>
    <row r="19" spans="12:52" x14ac:dyDescent="0.25">
      <c r="Y19" s="14"/>
      <c r="Z19" s="14"/>
      <c r="AA19" s="14"/>
      <c r="AB19" s="14"/>
      <c r="AC19" s="14"/>
      <c r="AD19" s="14"/>
      <c r="AE19" s="14"/>
      <c r="AF19" s="14"/>
      <c r="AG19" s="14"/>
      <c r="AH19" s="14"/>
      <c r="AI19" s="14"/>
      <c r="AJ19" s="14"/>
      <c r="AK19" s="14"/>
      <c r="AL19" s="14"/>
      <c r="AM19" s="14"/>
      <c r="AN19" s="21" t="s">
        <v>2714</v>
      </c>
      <c r="AO19" s="22" t="s">
        <v>2713</v>
      </c>
      <c r="AP19" s="14"/>
      <c r="AQ19" s="14"/>
      <c r="AR19" s="14"/>
      <c r="AS19" s="14"/>
      <c r="AT19" s="14"/>
      <c r="AU19" s="14"/>
      <c r="AV19" s="14"/>
      <c r="AW19" s="14"/>
      <c r="AY19" s="17" t="s">
        <v>2717</v>
      </c>
      <c r="AZ19" s="13">
        <v>4.1666666666666664E-2</v>
      </c>
    </row>
    <row r="20" spans="12:52" x14ac:dyDescent="0.25">
      <c r="Y20" s="14"/>
      <c r="Z20" s="14"/>
      <c r="AA20" s="14"/>
      <c r="AB20" s="14"/>
      <c r="AC20" s="14"/>
      <c r="AD20" s="14"/>
      <c r="AE20" s="14"/>
      <c r="AF20" s="14"/>
      <c r="AG20" s="14"/>
      <c r="AH20" s="14"/>
      <c r="AI20" s="14"/>
      <c r="AJ20" s="14"/>
      <c r="AK20" s="14"/>
      <c r="AL20" s="14"/>
      <c r="AM20" s="14"/>
      <c r="AN20" s="18" t="s">
        <v>445</v>
      </c>
      <c r="AO20" s="19">
        <v>634.4</v>
      </c>
      <c r="AP20" s="14"/>
      <c r="AQ20" s="14"/>
      <c r="AR20" s="14"/>
      <c r="AS20" s="14"/>
      <c r="AT20" s="14"/>
      <c r="AU20" s="14"/>
      <c r="AV20" s="14"/>
      <c r="AW20" s="14"/>
    </row>
    <row r="21" spans="12:52" x14ac:dyDescent="0.25">
      <c r="Y21" s="14"/>
      <c r="Z21" s="14"/>
      <c r="AA21" s="14"/>
      <c r="AB21" s="14"/>
      <c r="AC21" s="14"/>
      <c r="AD21" s="14"/>
      <c r="AE21" s="14"/>
      <c r="AF21" s="14"/>
      <c r="AG21" s="14"/>
      <c r="AH21" s="14"/>
      <c r="AI21" s="14"/>
      <c r="AJ21" s="14"/>
      <c r="AK21" s="14"/>
      <c r="AL21" s="14"/>
      <c r="AM21" s="14"/>
      <c r="AN21" s="18" t="s">
        <v>756</v>
      </c>
      <c r="AO21" s="19">
        <v>615.75</v>
      </c>
      <c r="AP21" s="14"/>
      <c r="AQ21" s="14"/>
      <c r="AR21" s="14"/>
      <c r="AS21" s="14"/>
      <c r="AT21" s="14"/>
      <c r="AU21" s="14"/>
      <c r="AV21" s="14"/>
      <c r="AW21" s="14"/>
    </row>
    <row r="22" spans="12:52" x14ac:dyDescent="0.25">
      <c r="Y22" s="14"/>
      <c r="Z22" s="14"/>
      <c r="AA22" s="14"/>
      <c r="AB22" s="14"/>
      <c r="AC22" s="14"/>
      <c r="AD22" s="14"/>
      <c r="AE22" s="14"/>
      <c r="AF22" s="14"/>
      <c r="AG22" s="14"/>
      <c r="AH22" s="14"/>
      <c r="AI22" s="14"/>
      <c r="AJ22" s="14"/>
      <c r="AK22" s="14"/>
      <c r="AL22" s="14"/>
      <c r="AM22" s="14"/>
      <c r="AN22" s="18" t="s">
        <v>2215</v>
      </c>
      <c r="AO22" s="19">
        <v>614.66</v>
      </c>
      <c r="AP22" s="14"/>
      <c r="AQ22" s="14"/>
      <c r="AR22" s="14"/>
      <c r="AS22" s="14"/>
      <c r="AT22" s="14"/>
      <c r="AU22" s="14"/>
      <c r="AV22" s="14"/>
      <c r="AW22" s="14"/>
    </row>
    <row r="23" spans="12:52" x14ac:dyDescent="0.25">
      <c r="Y23" s="14"/>
      <c r="Z23" s="14"/>
      <c r="AA23" s="14"/>
      <c r="AB23" s="14"/>
      <c r="AC23" s="14"/>
      <c r="AD23" s="14"/>
      <c r="AE23" s="14"/>
      <c r="AF23" s="14"/>
      <c r="AG23" s="14"/>
      <c r="AH23" s="14"/>
      <c r="AI23" s="14"/>
      <c r="AJ23" s="14"/>
      <c r="AK23" s="14"/>
      <c r="AL23" s="14"/>
      <c r="AM23" s="14"/>
      <c r="AN23" s="18" t="s">
        <v>539</v>
      </c>
      <c r="AO23" s="19">
        <v>614.21</v>
      </c>
      <c r="AP23" s="14"/>
      <c r="AQ23" s="14"/>
      <c r="AR23" s="14"/>
      <c r="AS23" s="14"/>
      <c r="AT23" s="14"/>
      <c r="AU23" s="14"/>
      <c r="AV23" s="14"/>
      <c r="AW23" s="14"/>
    </row>
    <row r="24" spans="12:52" x14ac:dyDescent="0.25">
      <c r="Y24" s="14"/>
      <c r="Z24" s="14"/>
      <c r="AA24" s="14"/>
      <c r="AB24" s="14"/>
      <c r="AC24" s="14"/>
      <c r="AD24" s="14"/>
      <c r="AE24" s="14"/>
      <c r="AF24" s="14"/>
      <c r="AG24" s="14"/>
      <c r="AH24" s="14"/>
      <c r="AI24" s="14"/>
      <c r="AJ24" s="14"/>
      <c r="AK24" s="14"/>
      <c r="AL24" s="14"/>
      <c r="AM24" s="14"/>
      <c r="AN24" s="18" t="s">
        <v>2330</v>
      </c>
      <c r="AO24" s="19">
        <v>609.05999999999995</v>
      </c>
      <c r="AP24" s="14"/>
      <c r="AQ24" s="14"/>
      <c r="AR24" s="14"/>
      <c r="AS24" s="14"/>
      <c r="AT24" s="14"/>
      <c r="AU24" s="14"/>
      <c r="AV24" s="14"/>
      <c r="AW24" s="14"/>
    </row>
    <row r="25" spans="12:52" x14ac:dyDescent="0.25">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row>
    <row r="26" spans="12:52" x14ac:dyDescent="0.25">
      <c r="Y26" s="14"/>
      <c r="Z26" s="14"/>
      <c r="AA26" s="14"/>
      <c r="AB26" s="14"/>
      <c r="AC26" s="14"/>
      <c r="AD26" s="14"/>
      <c r="AE26" s="14"/>
      <c r="AF26" s="14"/>
      <c r="AG26" s="14"/>
      <c r="AH26" s="14"/>
      <c r="AI26" s="14"/>
      <c r="AJ26" s="14"/>
      <c r="AK26" s="14"/>
      <c r="AL26" s="14"/>
      <c r="AM26" s="14"/>
      <c r="AN26" s="21" t="s">
        <v>2711</v>
      </c>
      <c r="AO26" s="22" t="s">
        <v>2712</v>
      </c>
      <c r="AP26" s="14"/>
      <c r="AQ26" s="14"/>
      <c r="AR26" s="14"/>
      <c r="AS26" s="14"/>
      <c r="AT26" s="14"/>
      <c r="AU26" s="14"/>
      <c r="AV26" s="14"/>
      <c r="AW26" s="14"/>
    </row>
    <row r="27" spans="12:52" x14ac:dyDescent="0.25">
      <c r="Y27" s="14"/>
      <c r="Z27" s="14"/>
      <c r="AA27" s="14"/>
      <c r="AB27" s="14"/>
      <c r="AC27" s="14"/>
      <c r="AD27" s="14"/>
      <c r="AE27" s="14"/>
      <c r="AF27" s="14"/>
      <c r="AG27" s="14"/>
      <c r="AH27" s="14"/>
      <c r="AI27" s="14"/>
      <c r="AJ27" s="14"/>
      <c r="AK27" s="14"/>
      <c r="AL27" s="14"/>
      <c r="AM27" s="14"/>
      <c r="AN27" s="18" t="s">
        <v>2697</v>
      </c>
      <c r="AO27" s="20">
        <v>0.19583333333333333</v>
      </c>
      <c r="AP27" s="14"/>
      <c r="AQ27" s="14"/>
      <c r="AR27" s="14"/>
      <c r="AS27" s="14"/>
      <c r="AT27" s="14"/>
      <c r="AU27" s="14"/>
      <c r="AV27" s="14"/>
      <c r="AW27" s="14"/>
    </row>
    <row r="28" spans="12:52" x14ac:dyDescent="0.25">
      <c r="Y28" s="14"/>
      <c r="Z28" s="14"/>
      <c r="AA28" s="14"/>
      <c r="AB28" s="14"/>
      <c r="AC28" s="14"/>
      <c r="AD28" s="14"/>
      <c r="AE28" s="14"/>
      <c r="AF28" s="14"/>
      <c r="AG28" s="14"/>
      <c r="AH28" s="14"/>
      <c r="AI28" s="14"/>
      <c r="AJ28" s="14"/>
      <c r="AK28" s="14"/>
      <c r="AL28" s="14"/>
      <c r="AM28" s="14"/>
      <c r="AN28" s="18" t="s">
        <v>2701</v>
      </c>
      <c r="AO28" s="20">
        <v>0.15416666666666667</v>
      </c>
      <c r="AP28" s="14"/>
      <c r="AQ28" s="14"/>
      <c r="AR28" s="14"/>
      <c r="AS28" s="14"/>
      <c r="AT28" s="14"/>
      <c r="AU28" s="14"/>
      <c r="AV28" s="14"/>
      <c r="AW28" s="14"/>
    </row>
    <row r="29" spans="12:52" x14ac:dyDescent="0.25">
      <c r="Y29" s="14"/>
      <c r="Z29" s="14"/>
      <c r="AA29" s="14"/>
      <c r="AB29" s="14"/>
      <c r="AC29" s="14"/>
      <c r="AD29" s="14"/>
      <c r="AE29" s="14"/>
      <c r="AF29" s="14"/>
      <c r="AG29" s="14"/>
      <c r="AH29" s="14"/>
      <c r="AI29" s="14"/>
      <c r="AJ29" s="14"/>
      <c r="AK29" s="14"/>
      <c r="AL29" s="14"/>
      <c r="AM29" s="14"/>
      <c r="AN29" s="18" t="s">
        <v>2702</v>
      </c>
      <c r="AO29" s="20">
        <v>0.10833333333333334</v>
      </c>
      <c r="AP29" s="14"/>
      <c r="AQ29" s="14"/>
      <c r="AR29" s="14"/>
      <c r="AS29" s="14"/>
      <c r="AT29" s="14"/>
      <c r="AU29" s="14"/>
      <c r="AV29" s="14"/>
      <c r="AW29" s="14"/>
    </row>
    <row r="30" spans="12:52" x14ac:dyDescent="0.25">
      <c r="L30">
        <f>GETPIVOTDATA("billing_amount(USD)",$M$9)</f>
        <v>58232.889999999992</v>
      </c>
      <c r="Y30" s="14"/>
      <c r="Z30" s="14"/>
      <c r="AA30" s="14"/>
      <c r="AB30" s="14"/>
      <c r="AC30" s="14"/>
      <c r="AD30" s="14"/>
      <c r="AE30" s="14"/>
      <c r="AF30" s="14"/>
      <c r="AG30" s="14"/>
      <c r="AH30" s="14"/>
      <c r="AI30" s="14"/>
      <c r="AJ30" s="14"/>
      <c r="AK30" s="14"/>
      <c r="AL30" s="14"/>
      <c r="AM30" s="14"/>
      <c r="AN30" s="18" t="s">
        <v>2703</v>
      </c>
      <c r="AO30" s="20">
        <v>0.13333333333333333</v>
      </c>
      <c r="AP30" s="14"/>
      <c r="AQ30" s="14"/>
      <c r="AR30" s="14"/>
      <c r="AS30" s="14"/>
      <c r="AT30" s="14"/>
      <c r="AU30" s="14"/>
      <c r="AV30" s="14"/>
      <c r="AW30" s="14"/>
    </row>
    <row r="31" spans="12:52" x14ac:dyDescent="0.25">
      <c r="N31">
        <f>GETPIVOTDATA("billing_amount(USD)",$M$5,"year",2026)</f>
        <v>58232.889999999992</v>
      </c>
      <c r="Y31" s="14"/>
      <c r="Z31" s="14"/>
      <c r="AA31" s="14"/>
      <c r="AB31" s="14"/>
      <c r="AC31" s="14"/>
      <c r="AD31" s="14"/>
      <c r="AE31" s="14"/>
      <c r="AF31" s="14"/>
      <c r="AG31" s="14"/>
      <c r="AH31" s="14"/>
      <c r="AI31" s="14"/>
      <c r="AJ31" s="14"/>
      <c r="AK31" s="14"/>
      <c r="AL31" s="14"/>
      <c r="AM31" s="14"/>
      <c r="AN31" s="18" t="s">
        <v>2704</v>
      </c>
      <c r="AO31" s="20">
        <v>0.12083333333333333</v>
      </c>
      <c r="AP31" s="14"/>
      <c r="AQ31" s="14"/>
      <c r="AR31" s="14"/>
      <c r="AS31" s="14"/>
      <c r="AT31" s="14"/>
      <c r="AU31" s="14"/>
      <c r="AV31" s="14"/>
      <c r="AW31" s="14"/>
    </row>
    <row r="32" spans="12:52" x14ac:dyDescent="0.25">
      <c r="Y32" s="14"/>
      <c r="Z32" s="14"/>
      <c r="AA32" s="14"/>
      <c r="AB32" s="14"/>
      <c r="AC32" s="14"/>
      <c r="AD32" s="14"/>
      <c r="AE32" s="14"/>
      <c r="AF32" s="14"/>
      <c r="AG32" s="14"/>
      <c r="AH32" s="14"/>
      <c r="AI32" s="14"/>
      <c r="AJ32" s="14"/>
      <c r="AK32" s="14"/>
      <c r="AL32" s="14"/>
      <c r="AM32" s="14"/>
      <c r="AN32" s="18" t="s">
        <v>2705</v>
      </c>
      <c r="AO32" s="20">
        <v>0.13333333333333333</v>
      </c>
      <c r="AP32" s="14"/>
      <c r="AQ32" s="14"/>
      <c r="AR32" s="14"/>
      <c r="AS32" s="14"/>
      <c r="AT32" s="14"/>
      <c r="AU32" s="14"/>
      <c r="AV32" s="14"/>
      <c r="AW32" s="14"/>
    </row>
    <row r="33" spans="25:49" x14ac:dyDescent="0.25">
      <c r="Y33" s="14"/>
      <c r="Z33" s="14"/>
      <c r="AA33" s="14"/>
      <c r="AB33" s="14"/>
      <c r="AC33" s="14"/>
      <c r="AD33" s="14"/>
      <c r="AE33" s="14"/>
      <c r="AF33" s="14"/>
      <c r="AG33" s="14"/>
      <c r="AH33" s="14"/>
      <c r="AI33" s="14"/>
      <c r="AJ33" s="14"/>
      <c r="AK33" s="14"/>
      <c r="AL33" s="14"/>
      <c r="AM33" s="14"/>
      <c r="AN33" s="18" t="s">
        <v>2706</v>
      </c>
      <c r="AO33" s="20">
        <v>0.15416666666666667</v>
      </c>
      <c r="AP33" s="14"/>
      <c r="AQ33" s="14"/>
      <c r="AR33" s="14"/>
      <c r="AS33" s="14"/>
      <c r="AT33" s="14"/>
      <c r="AU33" s="14"/>
      <c r="AV33" s="14"/>
      <c r="AW33" s="14"/>
    </row>
  </sheetData>
  <mergeCells count="1">
    <mergeCell ref="Y1:AW2"/>
  </mergeCells>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1"/>
  <sheetViews>
    <sheetView workbookViewId="0">
      <selection activeCell="J12" sqref="J12"/>
    </sheetView>
  </sheetViews>
  <sheetFormatPr defaultRowHeight="15" x14ac:dyDescent="0.25"/>
  <cols>
    <col min="1" max="1" width="12.42578125" bestFit="1" customWidth="1"/>
    <col min="2" max="2" width="24.28515625" bestFit="1" customWidth="1"/>
    <col min="3" max="3" width="6.42578125" bestFit="1" customWidth="1"/>
    <col min="4" max="4" width="9.5703125" bestFit="1" customWidth="1"/>
    <col min="5" max="5" width="20.140625" bestFit="1" customWidth="1"/>
    <col min="6" max="6" width="15.5703125" bestFit="1" customWidth="1"/>
    <col min="7" max="7" width="22.7109375" bestFit="1" customWidth="1"/>
    <col min="8" max="8" width="13.85546875" bestFit="1" customWidth="1"/>
    <col min="9" max="9" width="21.7109375" customWidth="1"/>
    <col min="10" max="10" width="21.28515625" bestFit="1" customWidth="1"/>
    <col min="12" max="12" width="12.28515625" customWidth="1"/>
  </cols>
  <sheetData>
    <row r="1" spans="1:13" x14ac:dyDescent="0.25">
      <c r="A1" s="9" t="s">
        <v>0</v>
      </c>
      <c r="B1" s="9" t="s">
        <v>1</v>
      </c>
      <c r="C1" s="9" t="s">
        <v>2</v>
      </c>
      <c r="D1" s="9" t="s">
        <v>3</v>
      </c>
      <c r="E1" s="9" t="s">
        <v>4</v>
      </c>
      <c r="F1" s="9" t="s">
        <v>5</v>
      </c>
      <c r="G1" s="9" t="s">
        <v>6</v>
      </c>
      <c r="H1" s="9" t="s">
        <v>7</v>
      </c>
      <c r="I1" s="10" t="s">
        <v>2694</v>
      </c>
      <c r="J1" s="9" t="s">
        <v>9</v>
      </c>
      <c r="K1" s="10" t="s">
        <v>2698</v>
      </c>
      <c r="L1" s="10" t="s">
        <v>2700</v>
      </c>
      <c r="M1" s="23" t="s">
        <v>2715</v>
      </c>
    </row>
    <row r="2" spans="1:13" x14ac:dyDescent="0.25">
      <c r="A2" s="4">
        <v>1080</v>
      </c>
      <c r="B2" s="3" t="s">
        <v>10</v>
      </c>
      <c r="C2" s="4">
        <v>76</v>
      </c>
      <c r="D2" s="3" t="s">
        <v>37</v>
      </c>
      <c r="E2" s="5">
        <v>46079</v>
      </c>
      <c r="F2" s="5">
        <v>45629</v>
      </c>
      <c r="G2" s="3" t="s">
        <v>12</v>
      </c>
      <c r="H2" s="3" t="s">
        <v>13</v>
      </c>
      <c r="I2" s="2">
        <v>566.30999999999995</v>
      </c>
      <c r="J2" s="3" t="s">
        <v>35</v>
      </c>
      <c r="K2">
        <f>YEAR(E2)</f>
        <v>2026</v>
      </c>
      <c r="L2" t="str">
        <f>IF(C2="","",IF(C2&lt;=30,"18-30",IF(C2&lt;=40,"31-40",IF(C2&lt;=50,"41-50",IF(C2&lt;=60,"51-60",IF(C2&lt;=70,"61-70",IF(C2&lt;=80,"71-80","81-90")))))))</f>
        <v>71-80</v>
      </c>
      <c r="M2">
        <f>Table2[[#This Row],[appointment_date]]-Table2[[#This Row],[booking_date]]</f>
        <v>450</v>
      </c>
    </row>
    <row r="3" spans="1:13" x14ac:dyDescent="0.25">
      <c r="A3" s="4">
        <v>1074</v>
      </c>
      <c r="B3" s="3" t="s">
        <v>15</v>
      </c>
      <c r="C3" s="4">
        <v>69</v>
      </c>
      <c r="D3" s="3" t="s">
        <v>37</v>
      </c>
      <c r="E3" s="5">
        <v>45800</v>
      </c>
      <c r="F3" s="5">
        <v>45455</v>
      </c>
      <c r="G3" s="3" t="s">
        <v>17</v>
      </c>
      <c r="H3" s="3" t="s">
        <v>18</v>
      </c>
      <c r="I3" s="2">
        <v>385.57</v>
      </c>
      <c r="J3" s="3" t="s">
        <v>35</v>
      </c>
      <c r="K3">
        <f t="shared" ref="K3:K66" si="0">YEAR(E3)</f>
        <v>2025</v>
      </c>
      <c r="L3" t="str">
        <f t="shared" ref="L3:L66" si="1">IF(C3="","",IF(C3&lt;=30,"18-30",IF(C3&lt;=40,"31-40",IF(C3&lt;=50,"41-50",IF(C3&lt;=60,"51-60",IF(C3&lt;=70,"61-70",IF(C3&lt;=80,"71-80","81-90")))))))</f>
        <v>61-70</v>
      </c>
      <c r="M3">
        <f>Table2[[#This Row],[appointment_date]]-Table2[[#This Row],[booking_date]]</f>
        <v>345</v>
      </c>
    </row>
    <row r="4" spans="1:13" x14ac:dyDescent="0.25">
      <c r="A4" s="4">
        <v>1067</v>
      </c>
      <c r="B4" s="3" t="s">
        <v>21</v>
      </c>
      <c r="C4" s="4">
        <v>79</v>
      </c>
      <c r="D4" s="3" t="s">
        <v>68</v>
      </c>
      <c r="E4" s="5">
        <v>45991</v>
      </c>
      <c r="F4" s="5">
        <v>45509</v>
      </c>
      <c r="G4" s="3" t="s">
        <v>23</v>
      </c>
      <c r="H4" s="3" t="s">
        <v>24</v>
      </c>
      <c r="I4" s="2">
        <v>227.74</v>
      </c>
      <c r="J4" s="3" t="s">
        <v>35</v>
      </c>
      <c r="K4">
        <f t="shared" si="0"/>
        <v>2025</v>
      </c>
      <c r="L4" t="str">
        <f t="shared" si="1"/>
        <v>71-80</v>
      </c>
      <c r="M4">
        <f>Table2[[#This Row],[appointment_date]]-Table2[[#This Row],[booking_date]]</f>
        <v>482</v>
      </c>
    </row>
    <row r="5" spans="1:13" x14ac:dyDescent="0.25">
      <c r="A5" s="4">
        <v>1072</v>
      </c>
      <c r="B5" s="3" t="s">
        <v>26</v>
      </c>
      <c r="C5" s="4">
        <v>47</v>
      </c>
      <c r="D5" s="3" t="s">
        <v>37</v>
      </c>
      <c r="E5" s="5">
        <v>45795</v>
      </c>
      <c r="F5" s="5">
        <v>45544</v>
      </c>
      <c r="G5" s="3" t="s">
        <v>27</v>
      </c>
      <c r="H5" s="3" t="s">
        <v>28</v>
      </c>
      <c r="I5" s="2">
        <v>0.94</v>
      </c>
      <c r="J5" s="3" t="s">
        <v>30</v>
      </c>
      <c r="K5">
        <f t="shared" si="0"/>
        <v>2025</v>
      </c>
      <c r="L5" t="str">
        <f t="shared" si="1"/>
        <v>41-50</v>
      </c>
      <c r="M5">
        <f>Table2[[#This Row],[appointment_date]]-Table2[[#This Row],[booking_date]]</f>
        <v>251</v>
      </c>
    </row>
    <row r="6" spans="1:13" x14ac:dyDescent="0.25">
      <c r="A6" s="4">
        <v>1092</v>
      </c>
      <c r="B6" s="3" t="s">
        <v>31</v>
      </c>
      <c r="C6" s="4">
        <v>45</v>
      </c>
      <c r="D6" s="3"/>
      <c r="E6" s="5">
        <v>46088</v>
      </c>
      <c r="F6" s="5">
        <v>45521</v>
      </c>
      <c r="G6" s="3" t="s">
        <v>32</v>
      </c>
      <c r="H6" s="3" t="s">
        <v>28</v>
      </c>
      <c r="I6" s="2">
        <v>84.44</v>
      </c>
      <c r="J6" s="3" t="s">
        <v>35</v>
      </c>
      <c r="K6">
        <f t="shared" si="0"/>
        <v>2026</v>
      </c>
      <c r="L6" t="str">
        <f t="shared" si="1"/>
        <v>41-50</v>
      </c>
      <c r="M6">
        <f>Table2[[#This Row],[appointment_date]]-Table2[[#This Row],[booking_date]]</f>
        <v>567</v>
      </c>
    </row>
    <row r="7" spans="1:13" x14ac:dyDescent="0.25">
      <c r="A7" s="4">
        <v>1057</v>
      </c>
      <c r="B7" s="3" t="s">
        <v>33</v>
      </c>
      <c r="C7" s="4">
        <v>78</v>
      </c>
      <c r="D7" s="3" t="s">
        <v>68</v>
      </c>
      <c r="E7" s="5">
        <v>45926</v>
      </c>
      <c r="F7" s="5">
        <v>45900</v>
      </c>
      <c r="G7" s="3" t="s">
        <v>34</v>
      </c>
      <c r="H7" s="3" t="s">
        <v>28</v>
      </c>
      <c r="I7" s="2" t="s">
        <v>2693</v>
      </c>
      <c r="J7" s="3" t="s">
        <v>35</v>
      </c>
      <c r="K7">
        <f t="shared" si="0"/>
        <v>2025</v>
      </c>
      <c r="L7" t="str">
        <f t="shared" si="1"/>
        <v>71-80</v>
      </c>
      <c r="M7">
        <f>Table2[[#This Row],[appointment_date]]-Table2[[#This Row],[booking_date]]</f>
        <v>26</v>
      </c>
    </row>
    <row r="8" spans="1:13" x14ac:dyDescent="0.25">
      <c r="A8" s="4">
        <v>1018</v>
      </c>
      <c r="B8" s="3" t="s">
        <v>36</v>
      </c>
      <c r="C8" s="4">
        <v>22</v>
      </c>
      <c r="D8" s="3" t="s">
        <v>37</v>
      </c>
      <c r="E8" s="5">
        <v>45960</v>
      </c>
      <c r="F8" s="5">
        <v>45655</v>
      </c>
      <c r="G8" s="3" t="s">
        <v>38</v>
      </c>
      <c r="H8" s="3" t="s">
        <v>13</v>
      </c>
      <c r="I8" s="2">
        <v>110.88</v>
      </c>
      <c r="J8" s="3" t="s">
        <v>30</v>
      </c>
      <c r="K8">
        <f t="shared" si="0"/>
        <v>2025</v>
      </c>
      <c r="L8" t="str">
        <f t="shared" si="1"/>
        <v>18-30</v>
      </c>
      <c r="M8">
        <f>Table2[[#This Row],[appointment_date]]-Table2[[#This Row],[booking_date]]</f>
        <v>305</v>
      </c>
    </row>
    <row r="9" spans="1:13" x14ac:dyDescent="0.25">
      <c r="A9" s="4">
        <v>1074</v>
      </c>
      <c r="B9" s="3" t="s">
        <v>40</v>
      </c>
      <c r="C9" s="4">
        <v>57</v>
      </c>
      <c r="D9" s="3" t="s">
        <v>68</v>
      </c>
      <c r="E9" s="11">
        <v>45770</v>
      </c>
      <c r="F9" s="5">
        <v>45744</v>
      </c>
      <c r="G9" s="3" t="s">
        <v>41</v>
      </c>
      <c r="H9" s="3" t="s">
        <v>24</v>
      </c>
      <c r="I9" s="2">
        <v>4.12</v>
      </c>
      <c r="J9" s="3" t="s">
        <v>30</v>
      </c>
      <c r="K9">
        <f t="shared" si="0"/>
        <v>2025</v>
      </c>
      <c r="L9" t="str">
        <f t="shared" si="1"/>
        <v>51-60</v>
      </c>
      <c r="M9">
        <f>Table2[[#This Row],[appointment_date]]-Table2[[#This Row],[booking_date]]</f>
        <v>26</v>
      </c>
    </row>
    <row r="10" spans="1:13" x14ac:dyDescent="0.25">
      <c r="A10" s="4">
        <v>1041</v>
      </c>
      <c r="B10" s="3" t="s">
        <v>43</v>
      </c>
      <c r="C10" s="4">
        <v>54</v>
      </c>
      <c r="D10" s="3" t="s">
        <v>37</v>
      </c>
      <c r="E10" s="5">
        <v>45891</v>
      </c>
      <c r="F10" s="5">
        <v>45603</v>
      </c>
      <c r="G10" s="3" t="s">
        <v>44</v>
      </c>
      <c r="H10" s="3" t="s">
        <v>28</v>
      </c>
      <c r="I10" s="2">
        <v>452.37</v>
      </c>
      <c r="J10" s="3" t="s">
        <v>35</v>
      </c>
      <c r="K10">
        <f t="shared" si="0"/>
        <v>2025</v>
      </c>
      <c r="L10" t="str">
        <f t="shared" si="1"/>
        <v>51-60</v>
      </c>
      <c r="M10">
        <f>Table2[[#This Row],[appointment_date]]-Table2[[#This Row],[booking_date]]</f>
        <v>288</v>
      </c>
    </row>
    <row r="11" spans="1:13" x14ac:dyDescent="0.25">
      <c r="A11" s="4">
        <v>1011</v>
      </c>
      <c r="B11" s="3" t="s">
        <v>45</v>
      </c>
      <c r="C11" s="4">
        <v>45</v>
      </c>
      <c r="D11" s="3" t="s">
        <v>68</v>
      </c>
      <c r="E11" s="5">
        <v>46097</v>
      </c>
      <c r="F11" s="5">
        <v>46003</v>
      </c>
      <c r="G11" s="3" t="s">
        <v>46</v>
      </c>
      <c r="H11" s="3" t="s">
        <v>24</v>
      </c>
      <c r="I11" s="2">
        <v>554.37</v>
      </c>
      <c r="J11" s="3" t="s">
        <v>35</v>
      </c>
      <c r="K11">
        <f t="shared" si="0"/>
        <v>2026</v>
      </c>
      <c r="L11" t="str">
        <f t="shared" si="1"/>
        <v>41-50</v>
      </c>
      <c r="M11">
        <f>Table2[[#This Row],[appointment_date]]-Table2[[#This Row],[booking_date]]</f>
        <v>94</v>
      </c>
    </row>
    <row r="12" spans="1:13" x14ac:dyDescent="0.25">
      <c r="A12" s="4">
        <v>1086</v>
      </c>
      <c r="B12" s="3" t="s">
        <v>48</v>
      </c>
      <c r="C12" s="4">
        <v>54</v>
      </c>
      <c r="D12" s="3" t="s">
        <v>68</v>
      </c>
      <c r="E12" s="5">
        <v>45771</v>
      </c>
      <c r="F12" s="5">
        <v>45572</v>
      </c>
      <c r="G12" s="3" t="s">
        <v>50</v>
      </c>
      <c r="H12" s="3" t="s">
        <v>13</v>
      </c>
      <c r="I12" s="2">
        <v>122.24</v>
      </c>
      <c r="J12" s="3" t="s">
        <v>35</v>
      </c>
      <c r="K12">
        <f t="shared" si="0"/>
        <v>2025</v>
      </c>
      <c r="L12" t="str">
        <f t="shared" si="1"/>
        <v>51-60</v>
      </c>
      <c r="M12">
        <f>Table2[[#This Row],[appointment_date]]-Table2[[#This Row],[booking_date]]</f>
        <v>199</v>
      </c>
    </row>
    <row r="13" spans="1:13" x14ac:dyDescent="0.25">
      <c r="A13" s="4">
        <v>1041</v>
      </c>
      <c r="B13" s="3" t="s">
        <v>52</v>
      </c>
      <c r="C13" s="4">
        <v>68</v>
      </c>
      <c r="D13" s="3" t="s">
        <v>37</v>
      </c>
      <c r="E13" s="5">
        <v>46088</v>
      </c>
      <c r="F13" s="5">
        <v>45406</v>
      </c>
      <c r="G13" s="3" t="s">
        <v>53</v>
      </c>
      <c r="H13" s="3" t="s">
        <v>28</v>
      </c>
      <c r="I13" s="2">
        <v>82.88</v>
      </c>
      <c r="J13" s="3" t="s">
        <v>35</v>
      </c>
      <c r="K13">
        <f t="shared" si="0"/>
        <v>2026</v>
      </c>
      <c r="L13" t="str">
        <f t="shared" si="1"/>
        <v>61-70</v>
      </c>
      <c r="M13">
        <f>Table2[[#This Row],[appointment_date]]-Table2[[#This Row],[booking_date]]</f>
        <v>682</v>
      </c>
    </row>
    <row r="14" spans="1:13" x14ac:dyDescent="0.25">
      <c r="A14" s="4">
        <v>1057</v>
      </c>
      <c r="B14" s="3" t="s">
        <v>54</v>
      </c>
      <c r="C14" s="4">
        <v>61</v>
      </c>
      <c r="D14" s="3" t="s">
        <v>68</v>
      </c>
      <c r="E14" s="5">
        <v>45869</v>
      </c>
      <c r="F14" s="5">
        <v>45417</v>
      </c>
      <c r="G14" s="3" t="s">
        <v>55</v>
      </c>
      <c r="H14" s="3" t="s">
        <v>24</v>
      </c>
      <c r="I14" s="2">
        <v>3.05</v>
      </c>
      <c r="J14" s="3" t="s">
        <v>30</v>
      </c>
      <c r="K14">
        <f t="shared" si="0"/>
        <v>2025</v>
      </c>
      <c r="L14" t="str">
        <f t="shared" si="1"/>
        <v>61-70</v>
      </c>
      <c r="M14">
        <f>Table2[[#This Row],[appointment_date]]-Table2[[#This Row],[booking_date]]</f>
        <v>452</v>
      </c>
    </row>
    <row r="15" spans="1:13" x14ac:dyDescent="0.25">
      <c r="A15" s="4">
        <v>1022</v>
      </c>
      <c r="B15" s="3" t="s">
        <v>58</v>
      </c>
      <c r="C15" s="4">
        <v>70</v>
      </c>
      <c r="D15" s="3" t="s">
        <v>68</v>
      </c>
      <c r="E15" s="5">
        <v>45921</v>
      </c>
      <c r="F15" s="5">
        <v>45602</v>
      </c>
      <c r="G15" s="3" t="s">
        <v>59</v>
      </c>
      <c r="H15" s="3" t="s">
        <v>18</v>
      </c>
      <c r="I15" s="2">
        <v>460.33</v>
      </c>
      <c r="J15" s="3" t="s">
        <v>35</v>
      </c>
      <c r="K15">
        <f t="shared" si="0"/>
        <v>2025</v>
      </c>
      <c r="L15" t="str">
        <f t="shared" si="1"/>
        <v>61-70</v>
      </c>
      <c r="M15">
        <f>Table2[[#This Row],[appointment_date]]-Table2[[#This Row],[booking_date]]</f>
        <v>319</v>
      </c>
    </row>
    <row r="16" spans="1:13" x14ac:dyDescent="0.25">
      <c r="A16" s="4">
        <v>1046</v>
      </c>
      <c r="B16" s="3" t="s">
        <v>61</v>
      </c>
      <c r="C16" s="4">
        <v>36</v>
      </c>
      <c r="D16" s="3" t="s">
        <v>37</v>
      </c>
      <c r="E16" s="5">
        <v>46093</v>
      </c>
      <c r="F16" s="5">
        <v>45969</v>
      </c>
      <c r="G16" s="3" t="s">
        <v>62</v>
      </c>
      <c r="H16" s="3" t="s">
        <v>13</v>
      </c>
      <c r="I16" s="2">
        <v>89.79</v>
      </c>
      <c r="J16" s="3" t="s">
        <v>30</v>
      </c>
      <c r="K16">
        <f t="shared" si="0"/>
        <v>2026</v>
      </c>
      <c r="L16" t="str">
        <f t="shared" si="1"/>
        <v>31-40</v>
      </c>
      <c r="M16">
        <f>Table2[[#This Row],[appointment_date]]-Table2[[#This Row],[booking_date]]</f>
        <v>124</v>
      </c>
    </row>
    <row r="17" spans="1:13" x14ac:dyDescent="0.25">
      <c r="A17" s="4">
        <v>1025</v>
      </c>
      <c r="B17" s="3" t="s">
        <v>64</v>
      </c>
      <c r="C17" s="4">
        <v>23</v>
      </c>
      <c r="D17" s="3" t="s">
        <v>37</v>
      </c>
      <c r="E17" s="5">
        <v>46059</v>
      </c>
      <c r="F17" s="5">
        <v>45725</v>
      </c>
      <c r="G17" s="3" t="s">
        <v>65</v>
      </c>
      <c r="H17" s="3" t="s">
        <v>18</v>
      </c>
      <c r="I17" s="2">
        <v>183.67</v>
      </c>
      <c r="J17" s="3" t="s">
        <v>35</v>
      </c>
      <c r="K17">
        <f t="shared" si="0"/>
        <v>2026</v>
      </c>
      <c r="L17" t="str">
        <f t="shared" si="1"/>
        <v>18-30</v>
      </c>
      <c r="M17">
        <f>Table2[[#This Row],[appointment_date]]-Table2[[#This Row],[booking_date]]</f>
        <v>334</v>
      </c>
    </row>
    <row r="18" spans="1:13" x14ac:dyDescent="0.25">
      <c r="A18" s="4">
        <v>1027</v>
      </c>
      <c r="B18" s="3" t="s">
        <v>67</v>
      </c>
      <c r="C18" s="4">
        <v>72</v>
      </c>
      <c r="D18" s="3" t="s">
        <v>68</v>
      </c>
      <c r="E18" s="5">
        <v>45896</v>
      </c>
      <c r="F18" s="5">
        <v>45701</v>
      </c>
      <c r="G18" s="3" t="s">
        <v>69</v>
      </c>
      <c r="H18" s="3" t="s">
        <v>13</v>
      </c>
      <c r="I18" s="2">
        <v>335.67</v>
      </c>
      <c r="J18" s="3" t="s">
        <v>35</v>
      </c>
      <c r="K18">
        <f t="shared" si="0"/>
        <v>2025</v>
      </c>
      <c r="L18" t="str">
        <f t="shared" si="1"/>
        <v>71-80</v>
      </c>
      <c r="M18">
        <f>Table2[[#This Row],[appointment_date]]-Table2[[#This Row],[booking_date]]</f>
        <v>195</v>
      </c>
    </row>
    <row r="19" spans="1:13" x14ac:dyDescent="0.25">
      <c r="A19" s="4">
        <v>1059</v>
      </c>
      <c r="B19" s="3" t="s">
        <v>71</v>
      </c>
      <c r="C19" s="4">
        <v>66</v>
      </c>
      <c r="D19" s="3" t="s">
        <v>37</v>
      </c>
      <c r="E19" s="5">
        <v>45972</v>
      </c>
      <c r="F19" s="5">
        <v>45627</v>
      </c>
      <c r="G19" s="3" t="s">
        <v>72</v>
      </c>
      <c r="H19" s="3" t="s">
        <v>13</v>
      </c>
      <c r="I19" s="2">
        <v>153.07</v>
      </c>
      <c r="J19" s="3" t="s">
        <v>35</v>
      </c>
      <c r="K19">
        <f t="shared" si="0"/>
        <v>2025</v>
      </c>
      <c r="L19" t="str">
        <f t="shared" si="1"/>
        <v>61-70</v>
      </c>
      <c r="M19">
        <f>Table2[[#This Row],[appointment_date]]-Table2[[#This Row],[booking_date]]</f>
        <v>345</v>
      </c>
    </row>
    <row r="20" spans="1:13" x14ac:dyDescent="0.25">
      <c r="A20" s="4">
        <v>1086</v>
      </c>
      <c r="B20" s="3" t="s">
        <v>73</v>
      </c>
      <c r="C20" s="4">
        <v>81</v>
      </c>
      <c r="D20" s="3" t="s">
        <v>68</v>
      </c>
      <c r="E20" s="5">
        <v>45757</v>
      </c>
      <c r="F20" s="5">
        <v>45642</v>
      </c>
      <c r="G20" s="3" t="s">
        <v>74</v>
      </c>
      <c r="H20" s="3" t="s">
        <v>28</v>
      </c>
      <c r="I20" s="2">
        <v>3.62</v>
      </c>
      <c r="J20" s="3" t="s">
        <v>35</v>
      </c>
      <c r="K20">
        <f t="shared" si="0"/>
        <v>2025</v>
      </c>
      <c r="L20" t="str">
        <f t="shared" si="1"/>
        <v>81-90</v>
      </c>
      <c r="M20">
        <f>Table2[[#This Row],[appointment_date]]-Table2[[#This Row],[booking_date]]</f>
        <v>115</v>
      </c>
    </row>
    <row r="21" spans="1:13" x14ac:dyDescent="0.25">
      <c r="A21" s="4">
        <v>1033</v>
      </c>
      <c r="B21" s="3" t="s">
        <v>76</v>
      </c>
      <c r="C21" s="4">
        <v>76</v>
      </c>
      <c r="D21" s="3" t="s">
        <v>37</v>
      </c>
      <c r="E21" s="5">
        <v>45966</v>
      </c>
      <c r="F21" s="5">
        <v>45800</v>
      </c>
      <c r="G21" s="3" t="s">
        <v>77</v>
      </c>
      <c r="H21" s="3" t="s">
        <v>24</v>
      </c>
      <c r="I21" s="2">
        <v>151.69999999999999</v>
      </c>
      <c r="J21" s="3" t="s">
        <v>35</v>
      </c>
      <c r="K21">
        <f t="shared" si="0"/>
        <v>2025</v>
      </c>
      <c r="L21" t="str">
        <f t="shared" si="1"/>
        <v>71-80</v>
      </c>
      <c r="M21">
        <f>Table2[[#This Row],[appointment_date]]-Table2[[#This Row],[booking_date]]</f>
        <v>166</v>
      </c>
    </row>
    <row r="22" spans="1:13" x14ac:dyDescent="0.25">
      <c r="A22" s="4">
        <v>1069</v>
      </c>
      <c r="B22" s="3" t="s">
        <v>79</v>
      </c>
      <c r="C22" s="4">
        <v>90</v>
      </c>
      <c r="D22" s="3" t="s">
        <v>68</v>
      </c>
      <c r="E22" s="5">
        <v>45944</v>
      </c>
      <c r="F22" s="5">
        <v>45440</v>
      </c>
      <c r="G22" s="3" t="s">
        <v>80</v>
      </c>
      <c r="H22" s="3" t="s">
        <v>24</v>
      </c>
      <c r="I22" s="2">
        <v>0.8</v>
      </c>
      <c r="J22" s="3" t="s">
        <v>30</v>
      </c>
      <c r="K22">
        <f t="shared" si="0"/>
        <v>2025</v>
      </c>
      <c r="L22" t="str">
        <f t="shared" si="1"/>
        <v>81-90</v>
      </c>
      <c r="M22">
        <f>Table2[[#This Row],[appointment_date]]-Table2[[#This Row],[booking_date]]</f>
        <v>504</v>
      </c>
    </row>
    <row r="23" spans="1:13" x14ac:dyDescent="0.25">
      <c r="A23" s="4">
        <v>1097</v>
      </c>
      <c r="B23" s="3" t="s">
        <v>82</v>
      </c>
      <c r="C23" s="4">
        <v>56</v>
      </c>
      <c r="D23" s="3" t="s">
        <v>68</v>
      </c>
      <c r="E23" s="5">
        <v>45792</v>
      </c>
      <c r="F23" s="5">
        <v>45417</v>
      </c>
      <c r="G23" s="3" t="s">
        <v>83</v>
      </c>
      <c r="H23" s="3" t="s">
        <v>18</v>
      </c>
      <c r="I23" s="2">
        <v>2.85</v>
      </c>
      <c r="J23" s="3" t="s">
        <v>35</v>
      </c>
      <c r="K23">
        <f t="shared" si="0"/>
        <v>2025</v>
      </c>
      <c r="L23" t="str">
        <f t="shared" si="1"/>
        <v>51-60</v>
      </c>
      <c r="M23">
        <f>Table2[[#This Row],[appointment_date]]-Table2[[#This Row],[booking_date]]</f>
        <v>375</v>
      </c>
    </row>
    <row r="24" spans="1:13" x14ac:dyDescent="0.25">
      <c r="A24" s="4">
        <v>1064</v>
      </c>
      <c r="B24" s="3" t="s">
        <v>85</v>
      </c>
      <c r="C24" s="4">
        <v>88</v>
      </c>
      <c r="D24" s="3" t="s">
        <v>37</v>
      </c>
      <c r="E24" s="5">
        <v>46052</v>
      </c>
      <c r="F24" s="5">
        <v>45516</v>
      </c>
      <c r="G24" s="3" t="s">
        <v>86</v>
      </c>
      <c r="H24" s="3" t="s">
        <v>28</v>
      </c>
      <c r="I24" s="2">
        <v>203.61</v>
      </c>
      <c r="J24" s="3" t="s">
        <v>30</v>
      </c>
      <c r="K24">
        <f t="shared" si="0"/>
        <v>2026</v>
      </c>
      <c r="L24" t="str">
        <f t="shared" si="1"/>
        <v>81-90</v>
      </c>
      <c r="M24">
        <f>Table2[[#This Row],[appointment_date]]-Table2[[#This Row],[booking_date]]</f>
        <v>536</v>
      </c>
    </row>
    <row r="25" spans="1:13" x14ac:dyDescent="0.25">
      <c r="A25" s="4">
        <v>1089</v>
      </c>
      <c r="B25" s="3" t="s">
        <v>87</v>
      </c>
      <c r="C25" s="4">
        <v>32</v>
      </c>
      <c r="D25" s="3" t="s">
        <v>37</v>
      </c>
      <c r="E25" s="5">
        <v>45788</v>
      </c>
      <c r="F25" s="5">
        <v>45479</v>
      </c>
      <c r="G25" s="3" t="s">
        <v>88</v>
      </c>
      <c r="H25" s="3" t="s">
        <v>24</v>
      </c>
      <c r="I25" s="2">
        <v>2.6</v>
      </c>
      <c r="J25" s="3" t="s">
        <v>30</v>
      </c>
      <c r="K25">
        <f t="shared" si="0"/>
        <v>2025</v>
      </c>
      <c r="L25" t="str">
        <f t="shared" si="1"/>
        <v>31-40</v>
      </c>
      <c r="M25">
        <f>Table2[[#This Row],[appointment_date]]-Table2[[#This Row],[booking_date]]</f>
        <v>309</v>
      </c>
    </row>
    <row r="26" spans="1:13" x14ac:dyDescent="0.25">
      <c r="A26" s="4">
        <v>1086</v>
      </c>
      <c r="B26" s="3" t="s">
        <v>90</v>
      </c>
      <c r="C26" s="4">
        <v>34</v>
      </c>
      <c r="D26" s="3" t="s">
        <v>37</v>
      </c>
      <c r="E26" s="5">
        <v>45869</v>
      </c>
      <c r="F26" s="5">
        <v>45391</v>
      </c>
      <c r="G26" s="3" t="s">
        <v>91</v>
      </c>
      <c r="H26" s="3" t="s">
        <v>13</v>
      </c>
      <c r="I26" s="2">
        <v>3.21</v>
      </c>
      <c r="J26" s="3" t="s">
        <v>35</v>
      </c>
      <c r="K26">
        <f t="shared" si="0"/>
        <v>2025</v>
      </c>
      <c r="L26" t="str">
        <f t="shared" si="1"/>
        <v>31-40</v>
      </c>
      <c r="M26">
        <f>Table2[[#This Row],[appointment_date]]-Table2[[#This Row],[booking_date]]</f>
        <v>478</v>
      </c>
    </row>
    <row r="27" spans="1:13" x14ac:dyDescent="0.25">
      <c r="A27" s="4">
        <v>1073</v>
      </c>
      <c r="B27" s="3" t="s">
        <v>93</v>
      </c>
      <c r="C27" s="4">
        <v>88</v>
      </c>
      <c r="D27" s="3" t="s">
        <v>37</v>
      </c>
      <c r="E27" s="5">
        <v>45835</v>
      </c>
      <c r="F27" s="5">
        <v>45783</v>
      </c>
      <c r="G27" s="3" t="s">
        <v>94</v>
      </c>
      <c r="H27" s="3" t="s">
        <v>28</v>
      </c>
      <c r="I27" s="2">
        <v>51.72</v>
      </c>
      <c r="J27" s="3" t="s">
        <v>35</v>
      </c>
      <c r="K27">
        <f t="shared" si="0"/>
        <v>2025</v>
      </c>
      <c r="L27" t="str">
        <f t="shared" si="1"/>
        <v>81-90</v>
      </c>
      <c r="M27">
        <f>Table2[[#This Row],[appointment_date]]-Table2[[#This Row],[booking_date]]</f>
        <v>52</v>
      </c>
    </row>
    <row r="28" spans="1:13" x14ac:dyDescent="0.25">
      <c r="A28" s="4">
        <v>1093</v>
      </c>
      <c r="B28" s="3" t="s">
        <v>95</v>
      </c>
      <c r="C28" s="4">
        <v>20</v>
      </c>
      <c r="D28" s="3" t="s">
        <v>68</v>
      </c>
      <c r="E28" s="5">
        <v>46104</v>
      </c>
      <c r="F28" s="5">
        <v>45821</v>
      </c>
      <c r="G28" s="3" t="s">
        <v>96</v>
      </c>
      <c r="H28" s="3" t="s">
        <v>13</v>
      </c>
      <c r="I28" s="2">
        <v>291.06</v>
      </c>
      <c r="J28" s="3" t="s">
        <v>35</v>
      </c>
      <c r="K28">
        <f t="shared" si="0"/>
        <v>2026</v>
      </c>
      <c r="L28" t="str">
        <f t="shared" si="1"/>
        <v>18-30</v>
      </c>
      <c r="M28">
        <f>Table2[[#This Row],[appointment_date]]-Table2[[#This Row],[booking_date]]</f>
        <v>283</v>
      </c>
    </row>
    <row r="29" spans="1:13" x14ac:dyDescent="0.25">
      <c r="A29" s="4">
        <v>1084</v>
      </c>
      <c r="B29" s="3" t="s">
        <v>98</v>
      </c>
      <c r="C29" s="4">
        <v>86</v>
      </c>
      <c r="D29" s="3" t="s">
        <v>68</v>
      </c>
      <c r="E29" s="5">
        <v>46089</v>
      </c>
      <c r="F29" s="5">
        <v>45482</v>
      </c>
      <c r="G29" s="3" t="s">
        <v>99</v>
      </c>
      <c r="H29" s="3" t="s">
        <v>24</v>
      </c>
      <c r="I29" s="2">
        <v>1.76</v>
      </c>
      <c r="J29" s="3" t="s">
        <v>35</v>
      </c>
      <c r="K29">
        <f t="shared" si="0"/>
        <v>2026</v>
      </c>
      <c r="L29" t="str">
        <f t="shared" si="1"/>
        <v>81-90</v>
      </c>
      <c r="M29">
        <f>Table2[[#This Row],[appointment_date]]-Table2[[#This Row],[booking_date]]</f>
        <v>607</v>
      </c>
    </row>
    <row r="30" spans="1:13" x14ac:dyDescent="0.25">
      <c r="A30" s="4">
        <v>1002</v>
      </c>
      <c r="B30" s="3" t="s">
        <v>101</v>
      </c>
      <c r="C30" s="4">
        <v>42</v>
      </c>
      <c r="D30" s="3" t="s">
        <v>68</v>
      </c>
      <c r="E30" s="5">
        <v>45944</v>
      </c>
      <c r="F30" s="5">
        <v>45600</v>
      </c>
      <c r="G30" s="3" t="s">
        <v>102</v>
      </c>
      <c r="H30" s="3" t="s">
        <v>24</v>
      </c>
      <c r="I30" s="2">
        <v>3.77</v>
      </c>
      <c r="J30" s="3" t="s">
        <v>30</v>
      </c>
      <c r="K30">
        <f t="shared" si="0"/>
        <v>2025</v>
      </c>
      <c r="L30" t="str">
        <f t="shared" si="1"/>
        <v>41-50</v>
      </c>
      <c r="M30">
        <f>Table2[[#This Row],[appointment_date]]-Table2[[#This Row],[booking_date]]</f>
        <v>344</v>
      </c>
    </row>
    <row r="31" spans="1:13" x14ac:dyDescent="0.25">
      <c r="A31" s="4">
        <v>1030</v>
      </c>
      <c r="B31" s="3" t="s">
        <v>104</v>
      </c>
      <c r="C31" s="4">
        <v>18</v>
      </c>
      <c r="D31" s="3" t="s">
        <v>68</v>
      </c>
      <c r="E31" s="5">
        <v>45911</v>
      </c>
      <c r="F31" s="5">
        <v>45570</v>
      </c>
      <c r="G31" s="3" t="s">
        <v>105</v>
      </c>
      <c r="H31" s="3" t="s">
        <v>18</v>
      </c>
      <c r="I31" s="2">
        <v>2.2999999999999998</v>
      </c>
      <c r="J31" s="3" t="s">
        <v>30</v>
      </c>
      <c r="K31">
        <f t="shared" si="0"/>
        <v>2025</v>
      </c>
      <c r="L31" t="str">
        <f t="shared" si="1"/>
        <v>18-30</v>
      </c>
      <c r="M31">
        <f>Table2[[#This Row],[appointment_date]]-Table2[[#This Row],[booking_date]]</f>
        <v>341</v>
      </c>
    </row>
    <row r="32" spans="1:13" x14ac:dyDescent="0.25">
      <c r="A32" s="4">
        <v>1043</v>
      </c>
      <c r="B32" s="3" t="s">
        <v>107</v>
      </c>
      <c r="C32" s="4">
        <v>82</v>
      </c>
      <c r="D32" s="3" t="s">
        <v>37</v>
      </c>
      <c r="E32" s="5">
        <v>46006</v>
      </c>
      <c r="F32" s="5">
        <v>45859</v>
      </c>
      <c r="G32" s="3" t="s">
        <v>108</v>
      </c>
      <c r="H32" s="3" t="s">
        <v>28</v>
      </c>
      <c r="I32" s="2">
        <v>4.7</v>
      </c>
      <c r="J32" s="3" t="s">
        <v>30</v>
      </c>
      <c r="K32">
        <f t="shared" si="0"/>
        <v>2025</v>
      </c>
      <c r="L32" t="str">
        <f t="shared" si="1"/>
        <v>81-90</v>
      </c>
      <c r="M32">
        <f>Table2[[#This Row],[appointment_date]]-Table2[[#This Row],[booking_date]]</f>
        <v>147</v>
      </c>
    </row>
    <row r="33" spans="1:13" x14ac:dyDescent="0.25">
      <c r="A33" s="4">
        <v>1056</v>
      </c>
      <c r="B33" s="3" t="s">
        <v>110</v>
      </c>
      <c r="C33" s="4">
        <v>67</v>
      </c>
      <c r="D33" s="3" t="s">
        <v>37</v>
      </c>
      <c r="E33" s="5">
        <v>45913</v>
      </c>
      <c r="F33" s="5">
        <v>45664</v>
      </c>
      <c r="G33" s="3" t="s">
        <v>111</v>
      </c>
      <c r="H33" s="3" t="s">
        <v>18</v>
      </c>
      <c r="I33" s="2">
        <v>286.36</v>
      </c>
      <c r="J33" s="3" t="s">
        <v>35</v>
      </c>
      <c r="K33">
        <f t="shared" si="0"/>
        <v>2025</v>
      </c>
      <c r="L33" t="str">
        <f t="shared" si="1"/>
        <v>61-70</v>
      </c>
      <c r="M33">
        <f>Table2[[#This Row],[appointment_date]]-Table2[[#This Row],[booking_date]]</f>
        <v>249</v>
      </c>
    </row>
    <row r="34" spans="1:13" x14ac:dyDescent="0.25">
      <c r="A34" s="4">
        <v>1094</v>
      </c>
      <c r="B34" s="3" t="s">
        <v>113</v>
      </c>
      <c r="C34" s="4">
        <v>32</v>
      </c>
      <c r="D34" s="3" t="s">
        <v>68</v>
      </c>
      <c r="E34" s="5">
        <v>46090</v>
      </c>
      <c r="F34" s="5">
        <v>45610</v>
      </c>
      <c r="G34" s="3" t="s">
        <v>114</v>
      </c>
      <c r="H34" s="3" t="s">
        <v>28</v>
      </c>
      <c r="I34" s="2">
        <v>549.99</v>
      </c>
      <c r="J34" s="3" t="s">
        <v>30</v>
      </c>
      <c r="K34">
        <f t="shared" si="0"/>
        <v>2026</v>
      </c>
      <c r="L34" t="str">
        <f t="shared" si="1"/>
        <v>31-40</v>
      </c>
      <c r="M34">
        <f>Table2[[#This Row],[appointment_date]]-Table2[[#This Row],[booking_date]]</f>
        <v>480</v>
      </c>
    </row>
    <row r="35" spans="1:13" x14ac:dyDescent="0.25">
      <c r="A35" s="4">
        <v>1041</v>
      </c>
      <c r="B35" s="3" t="s">
        <v>116</v>
      </c>
      <c r="C35" s="4">
        <v>20</v>
      </c>
      <c r="D35" s="3" t="s">
        <v>68</v>
      </c>
      <c r="E35" s="5">
        <v>45784</v>
      </c>
      <c r="F35" s="5">
        <v>45676</v>
      </c>
      <c r="G35" s="3" t="s">
        <v>117</v>
      </c>
      <c r="H35" s="3" t="s">
        <v>24</v>
      </c>
      <c r="I35" s="2" t="s">
        <v>2693</v>
      </c>
      <c r="J35" s="3" t="s">
        <v>35</v>
      </c>
      <c r="K35">
        <f t="shared" si="0"/>
        <v>2025</v>
      </c>
      <c r="L35" t="str">
        <f t="shared" si="1"/>
        <v>18-30</v>
      </c>
      <c r="M35">
        <f>Table2[[#This Row],[appointment_date]]-Table2[[#This Row],[booking_date]]</f>
        <v>108</v>
      </c>
    </row>
    <row r="36" spans="1:13" x14ac:dyDescent="0.25">
      <c r="A36" s="4">
        <v>1071</v>
      </c>
      <c r="B36" s="3" t="s">
        <v>118</v>
      </c>
      <c r="C36" s="4">
        <v>46</v>
      </c>
      <c r="D36" s="3" t="s">
        <v>37</v>
      </c>
      <c r="E36" s="5">
        <v>46032</v>
      </c>
      <c r="F36" s="5">
        <v>45597</v>
      </c>
      <c r="G36" s="3" t="s">
        <v>119</v>
      </c>
      <c r="H36" s="3" t="s">
        <v>28</v>
      </c>
      <c r="I36" s="2">
        <v>526.97</v>
      </c>
      <c r="J36" s="3" t="s">
        <v>30</v>
      </c>
      <c r="K36">
        <f t="shared" si="0"/>
        <v>2026</v>
      </c>
      <c r="L36" t="str">
        <f t="shared" si="1"/>
        <v>41-50</v>
      </c>
      <c r="M36">
        <f>Table2[[#This Row],[appointment_date]]-Table2[[#This Row],[booking_date]]</f>
        <v>435</v>
      </c>
    </row>
    <row r="37" spans="1:13" x14ac:dyDescent="0.25">
      <c r="A37" s="4">
        <v>1051</v>
      </c>
      <c r="B37" s="3" t="s">
        <v>121</v>
      </c>
      <c r="C37" s="4">
        <v>26</v>
      </c>
      <c r="D37" s="3" t="s">
        <v>68</v>
      </c>
      <c r="E37" s="5">
        <v>45815</v>
      </c>
      <c r="F37" s="5">
        <v>45635</v>
      </c>
      <c r="G37" s="3" t="s">
        <v>122</v>
      </c>
      <c r="H37" s="3" t="s">
        <v>18</v>
      </c>
      <c r="I37" s="2">
        <v>340.25</v>
      </c>
      <c r="J37" s="3" t="s">
        <v>35</v>
      </c>
      <c r="K37">
        <f t="shared" si="0"/>
        <v>2025</v>
      </c>
      <c r="L37" t="str">
        <f t="shared" si="1"/>
        <v>18-30</v>
      </c>
      <c r="M37">
        <f>Table2[[#This Row],[appointment_date]]-Table2[[#This Row],[booking_date]]</f>
        <v>180</v>
      </c>
    </row>
    <row r="38" spans="1:13" x14ac:dyDescent="0.25">
      <c r="A38" s="4">
        <v>1003</v>
      </c>
      <c r="B38" s="3" t="s">
        <v>123</v>
      </c>
      <c r="C38" s="4">
        <v>19</v>
      </c>
      <c r="D38" s="3"/>
      <c r="E38" s="5">
        <v>45946</v>
      </c>
      <c r="F38" s="5">
        <v>45921</v>
      </c>
      <c r="G38" s="3" t="s">
        <v>124</v>
      </c>
      <c r="H38" s="3" t="s">
        <v>24</v>
      </c>
      <c r="I38" s="2">
        <v>481.44</v>
      </c>
      <c r="J38" s="3" t="s">
        <v>30</v>
      </c>
      <c r="K38">
        <f t="shared" si="0"/>
        <v>2025</v>
      </c>
      <c r="L38" t="str">
        <f t="shared" si="1"/>
        <v>18-30</v>
      </c>
      <c r="M38">
        <f>Table2[[#This Row],[appointment_date]]-Table2[[#This Row],[booking_date]]</f>
        <v>25</v>
      </c>
    </row>
    <row r="39" spans="1:13" x14ac:dyDescent="0.25">
      <c r="A39" s="4">
        <v>1053</v>
      </c>
      <c r="B39" s="3" t="s">
        <v>125</v>
      </c>
      <c r="C39" s="4">
        <v>37</v>
      </c>
      <c r="D39" s="3" t="s">
        <v>68</v>
      </c>
      <c r="E39" s="5">
        <v>45915</v>
      </c>
      <c r="F39" s="5">
        <v>45421</v>
      </c>
      <c r="G39" s="3" t="s">
        <v>126</v>
      </c>
      <c r="H39" s="3" t="s">
        <v>18</v>
      </c>
      <c r="I39" s="2">
        <v>442.77</v>
      </c>
      <c r="J39" s="3" t="s">
        <v>30</v>
      </c>
      <c r="K39">
        <f t="shared" si="0"/>
        <v>2025</v>
      </c>
      <c r="L39" t="str">
        <f t="shared" si="1"/>
        <v>31-40</v>
      </c>
      <c r="M39">
        <f>Table2[[#This Row],[appointment_date]]-Table2[[#This Row],[booking_date]]</f>
        <v>494</v>
      </c>
    </row>
    <row r="40" spans="1:13" x14ac:dyDescent="0.25">
      <c r="A40" s="4">
        <v>1052</v>
      </c>
      <c r="B40" s="3" t="s">
        <v>127</v>
      </c>
      <c r="C40" s="4">
        <v>84</v>
      </c>
      <c r="D40" s="3" t="s">
        <v>37</v>
      </c>
      <c r="E40" s="5">
        <v>45908</v>
      </c>
      <c r="F40" s="5">
        <v>45793</v>
      </c>
      <c r="G40" s="3" t="s">
        <v>128</v>
      </c>
      <c r="H40" s="3" t="s">
        <v>18</v>
      </c>
      <c r="I40" s="2">
        <v>1.93</v>
      </c>
      <c r="J40" s="3" t="s">
        <v>30</v>
      </c>
      <c r="K40">
        <f t="shared" si="0"/>
        <v>2025</v>
      </c>
      <c r="L40" t="str">
        <f t="shared" si="1"/>
        <v>81-90</v>
      </c>
      <c r="M40">
        <f>Table2[[#This Row],[appointment_date]]-Table2[[#This Row],[booking_date]]</f>
        <v>115</v>
      </c>
    </row>
    <row r="41" spans="1:13" x14ac:dyDescent="0.25">
      <c r="A41" s="4">
        <v>1018</v>
      </c>
      <c r="B41" s="3" t="s">
        <v>130</v>
      </c>
      <c r="C41" s="4">
        <v>55</v>
      </c>
      <c r="D41" s="3" t="s">
        <v>37</v>
      </c>
      <c r="E41" s="5">
        <v>46082</v>
      </c>
      <c r="F41" s="5">
        <v>45446</v>
      </c>
      <c r="G41" s="3" t="s">
        <v>131</v>
      </c>
      <c r="H41" s="3" t="s">
        <v>24</v>
      </c>
      <c r="I41" s="2">
        <v>359.14</v>
      </c>
      <c r="J41" s="3" t="s">
        <v>30</v>
      </c>
      <c r="K41">
        <f t="shared" si="0"/>
        <v>2026</v>
      </c>
      <c r="L41" t="str">
        <f t="shared" si="1"/>
        <v>51-60</v>
      </c>
      <c r="M41">
        <f>Table2[[#This Row],[appointment_date]]-Table2[[#This Row],[booking_date]]</f>
        <v>636</v>
      </c>
    </row>
    <row r="42" spans="1:13" x14ac:dyDescent="0.25">
      <c r="A42" s="4">
        <v>1001</v>
      </c>
      <c r="B42" s="3" t="s">
        <v>133</v>
      </c>
      <c r="C42" s="4">
        <v>50</v>
      </c>
      <c r="D42" s="3" t="s">
        <v>68</v>
      </c>
      <c r="E42" s="5">
        <v>45886</v>
      </c>
      <c r="F42" s="5">
        <v>45558</v>
      </c>
      <c r="G42" s="3" t="s">
        <v>134</v>
      </c>
      <c r="H42" s="3" t="s">
        <v>18</v>
      </c>
      <c r="I42" s="2">
        <v>268.14</v>
      </c>
      <c r="J42" s="3" t="s">
        <v>35</v>
      </c>
      <c r="K42">
        <f t="shared" si="0"/>
        <v>2025</v>
      </c>
      <c r="L42" t="str">
        <f t="shared" si="1"/>
        <v>41-50</v>
      </c>
      <c r="M42">
        <f>Table2[[#This Row],[appointment_date]]-Table2[[#This Row],[booking_date]]</f>
        <v>328</v>
      </c>
    </row>
    <row r="43" spans="1:13" x14ac:dyDescent="0.25">
      <c r="A43" s="4">
        <v>1060</v>
      </c>
      <c r="B43" s="3" t="s">
        <v>135</v>
      </c>
      <c r="C43" s="4">
        <v>61</v>
      </c>
      <c r="D43" s="3" t="s">
        <v>68</v>
      </c>
      <c r="E43" s="5">
        <v>45980</v>
      </c>
      <c r="F43" s="5">
        <v>45410</v>
      </c>
      <c r="G43" s="3" t="s">
        <v>136</v>
      </c>
      <c r="H43" s="3" t="s">
        <v>28</v>
      </c>
      <c r="I43" s="2">
        <v>559.72</v>
      </c>
      <c r="J43" s="3" t="s">
        <v>35</v>
      </c>
      <c r="K43">
        <f t="shared" si="0"/>
        <v>2025</v>
      </c>
      <c r="L43" t="str">
        <f t="shared" si="1"/>
        <v>61-70</v>
      </c>
      <c r="M43">
        <f>Table2[[#This Row],[appointment_date]]-Table2[[#This Row],[booking_date]]</f>
        <v>570</v>
      </c>
    </row>
    <row r="44" spans="1:13" x14ac:dyDescent="0.25">
      <c r="A44" s="4">
        <v>1055</v>
      </c>
      <c r="B44" s="3" t="s">
        <v>138</v>
      </c>
      <c r="C44" s="4">
        <v>35</v>
      </c>
      <c r="D44" s="3" t="s">
        <v>68</v>
      </c>
      <c r="E44" s="5">
        <v>45801</v>
      </c>
      <c r="F44" s="5">
        <v>45491</v>
      </c>
      <c r="G44" s="3" t="s">
        <v>139</v>
      </c>
      <c r="H44" s="3" t="s">
        <v>18</v>
      </c>
      <c r="I44" s="2">
        <v>4.97</v>
      </c>
      <c r="J44" s="3" t="s">
        <v>35</v>
      </c>
      <c r="K44">
        <f t="shared" si="0"/>
        <v>2025</v>
      </c>
      <c r="L44" t="str">
        <f t="shared" si="1"/>
        <v>31-40</v>
      </c>
      <c r="M44">
        <f>Table2[[#This Row],[appointment_date]]-Table2[[#This Row],[booking_date]]</f>
        <v>310</v>
      </c>
    </row>
    <row r="45" spans="1:13" x14ac:dyDescent="0.25">
      <c r="A45" s="4">
        <v>1063</v>
      </c>
      <c r="B45" s="3" t="s">
        <v>141</v>
      </c>
      <c r="C45" s="4">
        <v>29</v>
      </c>
      <c r="D45" s="3"/>
      <c r="E45" s="5">
        <v>45916</v>
      </c>
      <c r="F45" s="5">
        <v>45776</v>
      </c>
      <c r="G45" s="3" t="s">
        <v>142</v>
      </c>
      <c r="H45" s="3" t="s">
        <v>18</v>
      </c>
      <c r="I45" s="2">
        <v>5.28</v>
      </c>
      <c r="J45" s="3" t="s">
        <v>30</v>
      </c>
      <c r="K45">
        <f t="shared" si="0"/>
        <v>2025</v>
      </c>
      <c r="L45" t="str">
        <f t="shared" si="1"/>
        <v>18-30</v>
      </c>
      <c r="M45">
        <f>Table2[[#This Row],[appointment_date]]-Table2[[#This Row],[booking_date]]</f>
        <v>140</v>
      </c>
    </row>
    <row r="46" spans="1:13" x14ac:dyDescent="0.25">
      <c r="A46" s="4">
        <v>1069</v>
      </c>
      <c r="B46" s="3" t="s">
        <v>144</v>
      </c>
      <c r="C46" s="4">
        <v>72</v>
      </c>
      <c r="D46" s="3" t="s">
        <v>37</v>
      </c>
      <c r="E46" s="5">
        <v>45880</v>
      </c>
      <c r="F46" s="5">
        <v>45383</v>
      </c>
      <c r="G46" s="3" t="s">
        <v>145</v>
      </c>
      <c r="H46" s="3" t="s">
        <v>24</v>
      </c>
      <c r="I46" s="2">
        <v>283.76</v>
      </c>
      <c r="J46" s="3" t="s">
        <v>35</v>
      </c>
      <c r="K46">
        <f t="shared" si="0"/>
        <v>2025</v>
      </c>
      <c r="L46" t="str">
        <f t="shared" si="1"/>
        <v>71-80</v>
      </c>
      <c r="M46">
        <f>Table2[[#This Row],[appointment_date]]-Table2[[#This Row],[booking_date]]</f>
        <v>497</v>
      </c>
    </row>
    <row r="47" spans="1:13" x14ac:dyDescent="0.25">
      <c r="A47" s="4">
        <v>1095</v>
      </c>
      <c r="B47" s="3" t="s">
        <v>147</v>
      </c>
      <c r="C47" s="4">
        <v>29</v>
      </c>
      <c r="D47" s="3" t="s">
        <v>37</v>
      </c>
      <c r="E47" s="5">
        <v>45891</v>
      </c>
      <c r="F47" s="5">
        <v>45772</v>
      </c>
      <c r="G47" s="3" t="s">
        <v>148</v>
      </c>
      <c r="H47" s="3" t="s">
        <v>24</v>
      </c>
      <c r="I47" s="2">
        <v>1.32</v>
      </c>
      <c r="J47" s="3" t="s">
        <v>35</v>
      </c>
      <c r="K47">
        <f t="shared" si="0"/>
        <v>2025</v>
      </c>
      <c r="L47" t="str">
        <f t="shared" si="1"/>
        <v>18-30</v>
      </c>
      <c r="M47">
        <f>Table2[[#This Row],[appointment_date]]-Table2[[#This Row],[booking_date]]</f>
        <v>119</v>
      </c>
    </row>
    <row r="48" spans="1:13" x14ac:dyDescent="0.25">
      <c r="A48" s="4">
        <v>1005</v>
      </c>
      <c r="B48" s="3" t="s">
        <v>150</v>
      </c>
      <c r="C48" s="4">
        <v>49</v>
      </c>
      <c r="D48" s="3" t="s">
        <v>68</v>
      </c>
      <c r="E48" s="5">
        <v>45820</v>
      </c>
      <c r="F48" s="5">
        <v>45515</v>
      </c>
      <c r="G48" s="3" t="s">
        <v>151</v>
      </c>
      <c r="H48" s="3" t="s">
        <v>13</v>
      </c>
      <c r="I48" s="2">
        <v>1.49</v>
      </c>
      <c r="J48" s="3" t="s">
        <v>30</v>
      </c>
      <c r="K48">
        <f t="shared" si="0"/>
        <v>2025</v>
      </c>
      <c r="L48" t="str">
        <f t="shared" si="1"/>
        <v>41-50</v>
      </c>
      <c r="M48">
        <f>Table2[[#This Row],[appointment_date]]-Table2[[#This Row],[booking_date]]</f>
        <v>305</v>
      </c>
    </row>
    <row r="49" spans="1:13" x14ac:dyDescent="0.25">
      <c r="A49" s="4">
        <v>1001</v>
      </c>
      <c r="B49" s="3" t="s">
        <v>153</v>
      </c>
      <c r="C49" s="4">
        <v>64</v>
      </c>
      <c r="D49" s="3" t="s">
        <v>37</v>
      </c>
      <c r="E49" s="5">
        <v>45867</v>
      </c>
      <c r="F49" s="5">
        <v>45451</v>
      </c>
      <c r="G49" s="3" t="s">
        <v>154</v>
      </c>
      <c r="H49" s="3" t="s">
        <v>18</v>
      </c>
      <c r="I49" s="2">
        <v>240.17</v>
      </c>
      <c r="J49" s="3" t="s">
        <v>30</v>
      </c>
      <c r="K49">
        <f t="shared" si="0"/>
        <v>2025</v>
      </c>
      <c r="L49" t="str">
        <f t="shared" si="1"/>
        <v>61-70</v>
      </c>
      <c r="M49">
        <f>Table2[[#This Row],[appointment_date]]-Table2[[#This Row],[booking_date]]</f>
        <v>416</v>
      </c>
    </row>
    <row r="50" spans="1:13" x14ac:dyDescent="0.25">
      <c r="A50" s="4">
        <v>1024</v>
      </c>
      <c r="B50" s="3" t="s">
        <v>156</v>
      </c>
      <c r="C50" s="4">
        <v>34</v>
      </c>
      <c r="D50" s="3" t="s">
        <v>37</v>
      </c>
      <c r="E50" s="5">
        <v>45931</v>
      </c>
      <c r="F50" s="5">
        <v>45578</v>
      </c>
      <c r="G50" s="3" t="s">
        <v>157</v>
      </c>
      <c r="H50" s="3" t="s">
        <v>18</v>
      </c>
      <c r="I50" s="2">
        <v>4.1399999999999997</v>
      </c>
      <c r="J50" s="3" t="s">
        <v>30</v>
      </c>
      <c r="K50">
        <f t="shared" si="0"/>
        <v>2025</v>
      </c>
      <c r="L50" t="str">
        <f t="shared" si="1"/>
        <v>31-40</v>
      </c>
      <c r="M50">
        <f>Table2[[#This Row],[appointment_date]]-Table2[[#This Row],[booking_date]]</f>
        <v>353</v>
      </c>
    </row>
    <row r="51" spans="1:13" x14ac:dyDescent="0.25">
      <c r="A51" s="4">
        <v>1016</v>
      </c>
      <c r="B51" s="3" t="s">
        <v>159</v>
      </c>
      <c r="C51" s="4">
        <v>35</v>
      </c>
      <c r="D51" s="3" t="s">
        <v>37</v>
      </c>
      <c r="E51" s="5">
        <v>46021</v>
      </c>
      <c r="F51" s="5">
        <v>45747</v>
      </c>
      <c r="G51" s="3" t="s">
        <v>160</v>
      </c>
      <c r="H51" s="3" t="s">
        <v>18</v>
      </c>
      <c r="I51" s="2">
        <v>384.73</v>
      </c>
      <c r="J51" s="3" t="s">
        <v>35</v>
      </c>
      <c r="K51">
        <f t="shared" si="0"/>
        <v>2025</v>
      </c>
      <c r="L51" t="str">
        <f t="shared" si="1"/>
        <v>31-40</v>
      </c>
      <c r="M51">
        <f>Table2[[#This Row],[appointment_date]]-Table2[[#This Row],[booking_date]]</f>
        <v>274</v>
      </c>
    </row>
    <row r="52" spans="1:13" x14ac:dyDescent="0.25">
      <c r="A52" s="4">
        <v>1040</v>
      </c>
      <c r="B52" s="3" t="s">
        <v>162</v>
      </c>
      <c r="C52" s="4">
        <v>26</v>
      </c>
      <c r="D52" s="3" t="s">
        <v>68</v>
      </c>
      <c r="E52" s="5">
        <v>45883</v>
      </c>
      <c r="F52" s="5">
        <v>45446</v>
      </c>
      <c r="G52" s="3" t="s">
        <v>163</v>
      </c>
      <c r="H52" s="3" t="s">
        <v>13</v>
      </c>
      <c r="I52" s="2">
        <v>2.04</v>
      </c>
      <c r="J52" s="3" t="s">
        <v>35</v>
      </c>
      <c r="K52">
        <f t="shared" si="0"/>
        <v>2025</v>
      </c>
      <c r="L52" t="str">
        <f t="shared" si="1"/>
        <v>18-30</v>
      </c>
      <c r="M52">
        <f>Table2[[#This Row],[appointment_date]]-Table2[[#This Row],[booking_date]]</f>
        <v>437</v>
      </c>
    </row>
    <row r="53" spans="1:13" x14ac:dyDescent="0.25">
      <c r="A53" s="4">
        <v>1042</v>
      </c>
      <c r="B53" s="3" t="s">
        <v>165</v>
      </c>
      <c r="C53" s="4">
        <v>30</v>
      </c>
      <c r="D53" s="3" t="s">
        <v>68</v>
      </c>
      <c r="E53" s="5">
        <v>45996</v>
      </c>
      <c r="F53" s="5">
        <v>45538</v>
      </c>
      <c r="G53" s="3" t="s">
        <v>166</v>
      </c>
      <c r="H53" s="3" t="s">
        <v>24</v>
      </c>
      <c r="I53" s="2">
        <v>224.01</v>
      </c>
      <c r="J53" s="3" t="s">
        <v>35</v>
      </c>
      <c r="K53">
        <f t="shared" si="0"/>
        <v>2025</v>
      </c>
      <c r="L53" t="str">
        <f t="shared" si="1"/>
        <v>18-30</v>
      </c>
      <c r="M53">
        <f>Table2[[#This Row],[appointment_date]]-Table2[[#This Row],[booking_date]]</f>
        <v>458</v>
      </c>
    </row>
    <row r="54" spans="1:13" x14ac:dyDescent="0.25">
      <c r="A54" s="4">
        <v>1015</v>
      </c>
      <c r="B54" s="3" t="s">
        <v>168</v>
      </c>
      <c r="C54" s="4">
        <v>66</v>
      </c>
      <c r="D54" s="3" t="s">
        <v>68</v>
      </c>
      <c r="E54" s="5">
        <v>46050</v>
      </c>
      <c r="F54" s="5">
        <v>45783</v>
      </c>
      <c r="G54" s="3" t="s">
        <v>169</v>
      </c>
      <c r="H54" s="3" t="s">
        <v>24</v>
      </c>
      <c r="I54" s="2">
        <v>367.06</v>
      </c>
      <c r="J54" s="3" t="s">
        <v>30</v>
      </c>
      <c r="K54">
        <f t="shared" si="0"/>
        <v>2026</v>
      </c>
      <c r="L54" t="str">
        <f t="shared" si="1"/>
        <v>61-70</v>
      </c>
      <c r="M54">
        <f>Table2[[#This Row],[appointment_date]]-Table2[[#This Row],[booking_date]]</f>
        <v>267</v>
      </c>
    </row>
    <row r="55" spans="1:13" x14ac:dyDescent="0.25">
      <c r="A55" s="4">
        <v>1053</v>
      </c>
      <c r="B55" s="3" t="s">
        <v>170</v>
      </c>
      <c r="C55" s="4">
        <v>49</v>
      </c>
      <c r="D55" s="3" t="s">
        <v>68</v>
      </c>
      <c r="E55" s="5">
        <v>45875</v>
      </c>
      <c r="F55" s="5">
        <v>45739</v>
      </c>
      <c r="G55" s="3" t="s">
        <v>171</v>
      </c>
      <c r="H55" s="3" t="s">
        <v>24</v>
      </c>
      <c r="I55" s="2">
        <v>4.33</v>
      </c>
      <c r="J55" s="3" t="s">
        <v>35</v>
      </c>
      <c r="K55">
        <f t="shared" si="0"/>
        <v>2025</v>
      </c>
      <c r="L55" t="str">
        <f t="shared" si="1"/>
        <v>41-50</v>
      </c>
      <c r="M55">
        <f>Table2[[#This Row],[appointment_date]]-Table2[[#This Row],[booking_date]]</f>
        <v>136</v>
      </c>
    </row>
    <row r="56" spans="1:13" x14ac:dyDescent="0.25">
      <c r="A56" s="4">
        <v>1063</v>
      </c>
      <c r="B56" s="3" t="s">
        <v>173</v>
      </c>
      <c r="C56" s="4">
        <v>62</v>
      </c>
      <c r="D56" s="3" t="s">
        <v>37</v>
      </c>
      <c r="E56" s="5">
        <v>46032</v>
      </c>
      <c r="F56" s="5">
        <v>45637</v>
      </c>
      <c r="G56" s="3" t="s">
        <v>174</v>
      </c>
      <c r="H56" s="3" t="s">
        <v>24</v>
      </c>
      <c r="I56" s="2">
        <v>515.24</v>
      </c>
      <c r="J56" s="3" t="s">
        <v>30</v>
      </c>
      <c r="K56">
        <f t="shared" si="0"/>
        <v>2026</v>
      </c>
      <c r="L56" t="str">
        <f t="shared" si="1"/>
        <v>61-70</v>
      </c>
      <c r="M56">
        <f>Table2[[#This Row],[appointment_date]]-Table2[[#This Row],[booking_date]]</f>
        <v>395</v>
      </c>
    </row>
    <row r="57" spans="1:13" x14ac:dyDescent="0.25">
      <c r="A57" s="4">
        <v>1068</v>
      </c>
      <c r="B57" s="3" t="s">
        <v>176</v>
      </c>
      <c r="C57" s="4">
        <v>63</v>
      </c>
      <c r="D57" s="3" t="s">
        <v>37</v>
      </c>
      <c r="E57" s="5">
        <v>45970</v>
      </c>
      <c r="F57" s="5">
        <v>45910</v>
      </c>
      <c r="G57" s="3" t="s">
        <v>177</v>
      </c>
      <c r="H57" s="3" t="s">
        <v>18</v>
      </c>
      <c r="I57" s="2">
        <v>169.25</v>
      </c>
      <c r="J57" s="3" t="s">
        <v>35</v>
      </c>
      <c r="K57">
        <f t="shared" si="0"/>
        <v>2025</v>
      </c>
      <c r="L57" t="str">
        <f t="shared" si="1"/>
        <v>61-70</v>
      </c>
      <c r="M57">
        <f>Table2[[#This Row],[appointment_date]]-Table2[[#This Row],[booking_date]]</f>
        <v>60</v>
      </c>
    </row>
    <row r="58" spans="1:13" x14ac:dyDescent="0.25">
      <c r="A58" s="4">
        <v>1006</v>
      </c>
      <c r="B58" s="3" t="s">
        <v>178</v>
      </c>
      <c r="C58" s="4">
        <v>48</v>
      </c>
      <c r="D58" s="3" t="s">
        <v>37</v>
      </c>
      <c r="E58" s="5">
        <v>45847</v>
      </c>
      <c r="F58" s="5">
        <v>45750</v>
      </c>
      <c r="G58" s="3" t="s">
        <v>179</v>
      </c>
      <c r="H58" s="3" t="s">
        <v>24</v>
      </c>
      <c r="I58" s="2">
        <v>274.81</v>
      </c>
      <c r="J58" s="3" t="s">
        <v>35</v>
      </c>
      <c r="K58">
        <f t="shared" si="0"/>
        <v>2025</v>
      </c>
      <c r="L58" t="str">
        <f t="shared" si="1"/>
        <v>41-50</v>
      </c>
      <c r="M58">
        <f>Table2[[#This Row],[appointment_date]]-Table2[[#This Row],[booking_date]]</f>
        <v>97</v>
      </c>
    </row>
    <row r="59" spans="1:13" x14ac:dyDescent="0.25">
      <c r="A59" s="4">
        <v>1047</v>
      </c>
      <c r="B59" s="3" t="s">
        <v>180</v>
      </c>
      <c r="C59" s="4">
        <v>87</v>
      </c>
      <c r="D59" s="3" t="s">
        <v>68</v>
      </c>
      <c r="E59" s="5">
        <v>45874</v>
      </c>
      <c r="F59" s="5">
        <v>45691</v>
      </c>
      <c r="G59" s="3" t="s">
        <v>181</v>
      </c>
      <c r="H59" s="3" t="s">
        <v>18</v>
      </c>
      <c r="I59" s="2">
        <v>0.76</v>
      </c>
      <c r="J59" s="3" t="s">
        <v>35</v>
      </c>
      <c r="K59">
        <f t="shared" si="0"/>
        <v>2025</v>
      </c>
      <c r="L59" t="str">
        <f t="shared" si="1"/>
        <v>81-90</v>
      </c>
      <c r="M59">
        <f>Table2[[#This Row],[appointment_date]]-Table2[[#This Row],[booking_date]]</f>
        <v>183</v>
      </c>
    </row>
    <row r="60" spans="1:13" x14ac:dyDescent="0.25">
      <c r="A60" s="4">
        <v>1095</v>
      </c>
      <c r="B60" s="3" t="s">
        <v>183</v>
      </c>
      <c r="C60" s="4">
        <v>58</v>
      </c>
      <c r="D60" s="3" t="s">
        <v>37</v>
      </c>
      <c r="E60" s="5">
        <v>45812</v>
      </c>
      <c r="F60" s="5">
        <v>45683</v>
      </c>
      <c r="G60" s="3" t="s">
        <v>184</v>
      </c>
      <c r="H60" s="3" t="s">
        <v>24</v>
      </c>
      <c r="I60" s="2">
        <v>4.0199999999999996</v>
      </c>
      <c r="J60" s="3" t="s">
        <v>30</v>
      </c>
      <c r="K60">
        <f t="shared" si="0"/>
        <v>2025</v>
      </c>
      <c r="L60" t="str">
        <f t="shared" si="1"/>
        <v>51-60</v>
      </c>
      <c r="M60">
        <f>Table2[[#This Row],[appointment_date]]-Table2[[#This Row],[booking_date]]</f>
        <v>129</v>
      </c>
    </row>
    <row r="61" spans="1:13" x14ac:dyDescent="0.25">
      <c r="A61" s="4">
        <v>1009</v>
      </c>
      <c r="B61" s="3" t="s">
        <v>186</v>
      </c>
      <c r="C61" s="4">
        <v>63</v>
      </c>
      <c r="D61" s="3" t="s">
        <v>68</v>
      </c>
      <c r="E61" s="5">
        <v>45877</v>
      </c>
      <c r="F61" s="5">
        <v>45801</v>
      </c>
      <c r="G61" s="3" t="s">
        <v>187</v>
      </c>
      <c r="H61" s="3" t="s">
        <v>28</v>
      </c>
      <c r="I61" s="2">
        <v>466.97</v>
      </c>
      <c r="J61" s="3" t="s">
        <v>35</v>
      </c>
      <c r="K61">
        <f t="shared" si="0"/>
        <v>2025</v>
      </c>
      <c r="L61" t="str">
        <f t="shared" si="1"/>
        <v>61-70</v>
      </c>
      <c r="M61">
        <f>Table2[[#This Row],[appointment_date]]-Table2[[#This Row],[booking_date]]</f>
        <v>76</v>
      </c>
    </row>
    <row r="62" spans="1:13" x14ac:dyDescent="0.25">
      <c r="A62" s="4">
        <v>1078</v>
      </c>
      <c r="B62" s="3" t="s">
        <v>188</v>
      </c>
      <c r="C62" s="4">
        <v>54</v>
      </c>
      <c r="D62" s="3" t="s">
        <v>37</v>
      </c>
      <c r="E62" s="5">
        <v>46000</v>
      </c>
      <c r="F62" s="5">
        <v>45850</v>
      </c>
      <c r="G62" s="3" t="s">
        <v>189</v>
      </c>
      <c r="H62" s="3" t="s">
        <v>28</v>
      </c>
      <c r="I62" s="2">
        <v>5.33</v>
      </c>
      <c r="J62" s="3" t="s">
        <v>30</v>
      </c>
      <c r="K62">
        <f t="shared" si="0"/>
        <v>2025</v>
      </c>
      <c r="L62" t="str">
        <f t="shared" si="1"/>
        <v>51-60</v>
      </c>
      <c r="M62">
        <f>Table2[[#This Row],[appointment_date]]-Table2[[#This Row],[booking_date]]</f>
        <v>150</v>
      </c>
    </row>
    <row r="63" spans="1:13" x14ac:dyDescent="0.25">
      <c r="A63" s="4">
        <v>1019</v>
      </c>
      <c r="B63" s="3" t="s">
        <v>191</v>
      </c>
      <c r="C63" s="4">
        <v>35</v>
      </c>
      <c r="D63" s="3" t="s">
        <v>37</v>
      </c>
      <c r="E63" s="5">
        <v>45985</v>
      </c>
      <c r="F63" s="5">
        <v>45601</v>
      </c>
      <c r="G63" s="3" t="s">
        <v>192</v>
      </c>
      <c r="H63" s="3" t="s">
        <v>18</v>
      </c>
      <c r="I63" s="2">
        <v>128.18</v>
      </c>
      <c r="J63" s="3" t="s">
        <v>35</v>
      </c>
      <c r="K63">
        <f t="shared" si="0"/>
        <v>2025</v>
      </c>
      <c r="L63" t="str">
        <f t="shared" si="1"/>
        <v>31-40</v>
      </c>
      <c r="M63">
        <f>Table2[[#This Row],[appointment_date]]-Table2[[#This Row],[booking_date]]</f>
        <v>384</v>
      </c>
    </row>
    <row r="64" spans="1:13" x14ac:dyDescent="0.25">
      <c r="A64" s="4">
        <v>1021</v>
      </c>
      <c r="B64" s="3" t="s">
        <v>194</v>
      </c>
      <c r="C64" s="4">
        <v>39</v>
      </c>
      <c r="D64" s="3" t="s">
        <v>68</v>
      </c>
      <c r="E64" s="5">
        <v>45836</v>
      </c>
      <c r="F64" s="5">
        <v>45378</v>
      </c>
      <c r="G64" s="3" t="s">
        <v>195</v>
      </c>
      <c r="H64" s="3" t="s">
        <v>28</v>
      </c>
      <c r="I64" s="2">
        <v>218.64</v>
      </c>
      <c r="J64" s="3" t="s">
        <v>35</v>
      </c>
      <c r="K64">
        <f t="shared" si="0"/>
        <v>2025</v>
      </c>
      <c r="L64" t="str">
        <f t="shared" si="1"/>
        <v>31-40</v>
      </c>
      <c r="M64">
        <f>Table2[[#This Row],[appointment_date]]-Table2[[#This Row],[booking_date]]</f>
        <v>458</v>
      </c>
    </row>
    <row r="65" spans="1:13" x14ac:dyDescent="0.25">
      <c r="A65" s="4">
        <v>1018</v>
      </c>
      <c r="B65" s="3" t="s">
        <v>197</v>
      </c>
      <c r="C65" s="4">
        <v>78</v>
      </c>
      <c r="D65" s="3" t="s">
        <v>68</v>
      </c>
      <c r="E65" s="5">
        <v>45869</v>
      </c>
      <c r="F65" s="5">
        <v>45832</v>
      </c>
      <c r="G65" s="3" t="s">
        <v>198</v>
      </c>
      <c r="H65" s="3" t="s">
        <v>28</v>
      </c>
      <c r="I65" s="2">
        <v>149.80000000000001</v>
      </c>
      <c r="J65" s="3" t="s">
        <v>35</v>
      </c>
      <c r="K65">
        <f t="shared" si="0"/>
        <v>2025</v>
      </c>
      <c r="L65" t="str">
        <f t="shared" si="1"/>
        <v>71-80</v>
      </c>
      <c r="M65">
        <f>Table2[[#This Row],[appointment_date]]-Table2[[#This Row],[booking_date]]</f>
        <v>37</v>
      </c>
    </row>
    <row r="66" spans="1:13" x14ac:dyDescent="0.25">
      <c r="A66" s="4">
        <v>1077</v>
      </c>
      <c r="B66" s="3" t="s">
        <v>199</v>
      </c>
      <c r="C66" s="4">
        <v>34</v>
      </c>
      <c r="D66" s="3"/>
      <c r="E66" s="5">
        <v>45837</v>
      </c>
      <c r="F66" s="5">
        <v>45630</v>
      </c>
      <c r="G66" s="3" t="s">
        <v>200</v>
      </c>
      <c r="H66" s="3" t="s">
        <v>24</v>
      </c>
      <c r="I66" s="2">
        <v>2.97</v>
      </c>
      <c r="J66" s="3" t="s">
        <v>30</v>
      </c>
      <c r="K66">
        <f t="shared" si="0"/>
        <v>2025</v>
      </c>
      <c r="L66" t="str">
        <f t="shared" si="1"/>
        <v>31-40</v>
      </c>
      <c r="M66">
        <f>Table2[[#This Row],[appointment_date]]-Table2[[#This Row],[booking_date]]</f>
        <v>207</v>
      </c>
    </row>
    <row r="67" spans="1:13" x14ac:dyDescent="0.25">
      <c r="A67" s="4">
        <v>1063</v>
      </c>
      <c r="B67" s="3" t="s">
        <v>202</v>
      </c>
      <c r="C67" s="4">
        <v>21</v>
      </c>
      <c r="D67" s="3" t="s">
        <v>68</v>
      </c>
      <c r="E67" s="5">
        <v>45973</v>
      </c>
      <c r="F67" s="5">
        <v>45838</v>
      </c>
      <c r="G67" s="3" t="s">
        <v>203</v>
      </c>
      <c r="H67" s="3" t="s">
        <v>24</v>
      </c>
      <c r="I67" s="2">
        <v>186.24</v>
      </c>
      <c r="J67" s="3" t="s">
        <v>35</v>
      </c>
      <c r="K67">
        <f t="shared" ref="K67:K130" si="2">YEAR(E67)</f>
        <v>2025</v>
      </c>
      <c r="L67" t="str">
        <f t="shared" ref="L67:L130" si="3">IF(C67="","",IF(C67&lt;=30,"18-30",IF(C67&lt;=40,"31-40",IF(C67&lt;=50,"41-50",IF(C67&lt;=60,"51-60",IF(C67&lt;=70,"61-70",IF(C67&lt;=80,"71-80","81-90")))))))</f>
        <v>18-30</v>
      </c>
      <c r="M67">
        <f>Table2[[#This Row],[appointment_date]]-Table2[[#This Row],[booking_date]]</f>
        <v>135</v>
      </c>
    </row>
    <row r="68" spans="1:13" x14ac:dyDescent="0.25">
      <c r="A68" s="4">
        <v>1015</v>
      </c>
      <c r="B68" s="3" t="s">
        <v>204</v>
      </c>
      <c r="C68" s="4">
        <v>37</v>
      </c>
      <c r="D68" s="3" t="s">
        <v>37</v>
      </c>
      <c r="E68" s="5">
        <v>45857</v>
      </c>
      <c r="F68" s="5">
        <v>45453</v>
      </c>
      <c r="G68" s="3" t="s">
        <v>205</v>
      </c>
      <c r="H68" s="3" t="s">
        <v>18</v>
      </c>
      <c r="I68" s="2">
        <v>4.68</v>
      </c>
      <c r="J68" s="3" t="s">
        <v>30</v>
      </c>
      <c r="K68">
        <f t="shared" si="2"/>
        <v>2025</v>
      </c>
      <c r="L68" t="str">
        <f t="shared" si="3"/>
        <v>31-40</v>
      </c>
      <c r="M68">
        <f>Table2[[#This Row],[appointment_date]]-Table2[[#This Row],[booking_date]]</f>
        <v>404</v>
      </c>
    </row>
    <row r="69" spans="1:13" x14ac:dyDescent="0.25">
      <c r="A69" s="4">
        <v>1068</v>
      </c>
      <c r="B69" s="3" t="s">
        <v>207</v>
      </c>
      <c r="C69" s="4">
        <v>60</v>
      </c>
      <c r="D69" s="3" t="s">
        <v>68</v>
      </c>
      <c r="E69" s="5">
        <v>46072</v>
      </c>
      <c r="F69" s="5">
        <v>45609</v>
      </c>
      <c r="G69" s="3" t="s">
        <v>208</v>
      </c>
      <c r="H69" s="3" t="s">
        <v>24</v>
      </c>
      <c r="I69" s="2">
        <v>122.05</v>
      </c>
      <c r="J69" s="3" t="s">
        <v>35</v>
      </c>
      <c r="K69">
        <f t="shared" si="2"/>
        <v>2026</v>
      </c>
      <c r="L69" t="str">
        <f t="shared" si="3"/>
        <v>51-60</v>
      </c>
      <c r="M69">
        <f>Table2[[#This Row],[appointment_date]]-Table2[[#This Row],[booking_date]]</f>
        <v>463</v>
      </c>
    </row>
    <row r="70" spans="1:13" x14ac:dyDescent="0.25">
      <c r="A70" s="4">
        <v>1010</v>
      </c>
      <c r="B70" s="3" t="s">
        <v>210</v>
      </c>
      <c r="C70" s="4">
        <v>38</v>
      </c>
      <c r="D70" s="3" t="s">
        <v>37</v>
      </c>
      <c r="E70" s="5">
        <v>46064</v>
      </c>
      <c r="F70" s="5">
        <v>45928</v>
      </c>
      <c r="G70" s="3" t="s">
        <v>211</v>
      </c>
      <c r="H70" s="3" t="s">
        <v>18</v>
      </c>
      <c r="I70" s="2">
        <v>102.22</v>
      </c>
      <c r="J70" s="3" t="s">
        <v>30</v>
      </c>
      <c r="K70">
        <f t="shared" si="2"/>
        <v>2026</v>
      </c>
      <c r="L70" t="str">
        <f t="shared" si="3"/>
        <v>31-40</v>
      </c>
      <c r="M70">
        <f>Table2[[#This Row],[appointment_date]]-Table2[[#This Row],[booking_date]]</f>
        <v>136</v>
      </c>
    </row>
    <row r="71" spans="1:13" x14ac:dyDescent="0.25">
      <c r="A71" s="4">
        <v>1034</v>
      </c>
      <c r="B71" s="3" t="s">
        <v>213</v>
      </c>
      <c r="C71" s="4">
        <v>68</v>
      </c>
      <c r="D71" s="3" t="s">
        <v>68</v>
      </c>
      <c r="E71" s="5">
        <v>45843</v>
      </c>
      <c r="F71" s="5">
        <v>45680</v>
      </c>
      <c r="G71" s="3" t="s">
        <v>214</v>
      </c>
      <c r="H71" s="3" t="s">
        <v>24</v>
      </c>
      <c r="I71" s="2">
        <v>602.57000000000005</v>
      </c>
      <c r="J71" s="3" t="s">
        <v>30</v>
      </c>
      <c r="K71">
        <f t="shared" si="2"/>
        <v>2025</v>
      </c>
      <c r="L71" t="str">
        <f t="shared" si="3"/>
        <v>61-70</v>
      </c>
      <c r="M71">
        <f>Table2[[#This Row],[appointment_date]]-Table2[[#This Row],[booking_date]]</f>
        <v>163</v>
      </c>
    </row>
    <row r="72" spans="1:13" x14ac:dyDescent="0.25">
      <c r="A72" s="4">
        <v>1095</v>
      </c>
      <c r="B72" s="3" t="s">
        <v>216</v>
      </c>
      <c r="C72" s="4">
        <v>86</v>
      </c>
      <c r="D72" s="3"/>
      <c r="E72" s="5">
        <v>45833</v>
      </c>
      <c r="F72" s="5">
        <v>45406</v>
      </c>
      <c r="G72" s="3" t="s">
        <v>217</v>
      </c>
      <c r="H72" s="3" t="s">
        <v>13</v>
      </c>
      <c r="I72" s="2">
        <v>68.73</v>
      </c>
      <c r="J72" s="3" t="s">
        <v>35</v>
      </c>
      <c r="K72">
        <f t="shared" si="2"/>
        <v>2025</v>
      </c>
      <c r="L72" t="str">
        <f t="shared" si="3"/>
        <v>81-90</v>
      </c>
      <c r="M72">
        <f>Table2[[#This Row],[appointment_date]]-Table2[[#This Row],[booking_date]]</f>
        <v>427</v>
      </c>
    </row>
    <row r="73" spans="1:13" x14ac:dyDescent="0.25">
      <c r="A73" s="4">
        <v>1070</v>
      </c>
      <c r="B73" s="3" t="s">
        <v>219</v>
      </c>
      <c r="C73" s="4">
        <v>85</v>
      </c>
      <c r="D73" s="3" t="s">
        <v>68</v>
      </c>
      <c r="E73" s="5">
        <v>45910</v>
      </c>
      <c r="F73" s="5">
        <v>45524</v>
      </c>
      <c r="G73" s="3" t="s">
        <v>220</v>
      </c>
      <c r="H73" s="3" t="s">
        <v>24</v>
      </c>
      <c r="I73" s="2">
        <v>185.52</v>
      </c>
      <c r="J73" s="3" t="s">
        <v>30</v>
      </c>
      <c r="K73">
        <f t="shared" si="2"/>
        <v>2025</v>
      </c>
      <c r="L73" t="str">
        <f t="shared" si="3"/>
        <v>81-90</v>
      </c>
      <c r="M73">
        <f>Table2[[#This Row],[appointment_date]]-Table2[[#This Row],[booking_date]]</f>
        <v>386</v>
      </c>
    </row>
    <row r="74" spans="1:13" x14ac:dyDescent="0.25">
      <c r="A74" s="4">
        <v>1099</v>
      </c>
      <c r="B74" s="3" t="s">
        <v>221</v>
      </c>
      <c r="C74" s="4">
        <v>28</v>
      </c>
      <c r="D74" s="3" t="s">
        <v>37</v>
      </c>
      <c r="E74" s="5">
        <v>45859</v>
      </c>
      <c r="F74" s="5">
        <v>45852</v>
      </c>
      <c r="G74" s="3" t="s">
        <v>222</v>
      </c>
      <c r="H74" s="3" t="s">
        <v>24</v>
      </c>
      <c r="I74" s="2">
        <v>149.6</v>
      </c>
      <c r="J74" s="3" t="s">
        <v>35</v>
      </c>
      <c r="K74">
        <f t="shared" si="2"/>
        <v>2025</v>
      </c>
      <c r="L74" t="str">
        <f t="shared" si="3"/>
        <v>18-30</v>
      </c>
      <c r="M74">
        <f>Table2[[#This Row],[appointment_date]]-Table2[[#This Row],[booking_date]]</f>
        <v>7</v>
      </c>
    </row>
    <row r="75" spans="1:13" x14ac:dyDescent="0.25">
      <c r="A75" s="4">
        <v>1022</v>
      </c>
      <c r="B75" s="3" t="s">
        <v>224</v>
      </c>
      <c r="C75" s="4">
        <v>23</v>
      </c>
      <c r="D75" s="3" t="s">
        <v>37</v>
      </c>
      <c r="E75" s="5">
        <v>46072</v>
      </c>
      <c r="F75" s="5">
        <v>45551</v>
      </c>
      <c r="G75" s="3" t="s">
        <v>225</v>
      </c>
      <c r="H75" s="3" t="s">
        <v>18</v>
      </c>
      <c r="I75" s="2">
        <v>382.34</v>
      </c>
      <c r="J75" s="3" t="s">
        <v>35</v>
      </c>
      <c r="K75">
        <f t="shared" si="2"/>
        <v>2026</v>
      </c>
      <c r="L75" t="str">
        <f t="shared" si="3"/>
        <v>18-30</v>
      </c>
      <c r="M75">
        <f>Table2[[#This Row],[appointment_date]]-Table2[[#This Row],[booking_date]]</f>
        <v>521</v>
      </c>
    </row>
    <row r="76" spans="1:13" x14ac:dyDescent="0.25">
      <c r="A76" s="4">
        <v>1095</v>
      </c>
      <c r="B76" s="3" t="s">
        <v>226</v>
      </c>
      <c r="C76" s="4">
        <v>86</v>
      </c>
      <c r="D76" s="3" t="s">
        <v>37</v>
      </c>
      <c r="E76" s="5">
        <v>45952</v>
      </c>
      <c r="F76" s="5">
        <v>45857</v>
      </c>
      <c r="G76" s="3" t="s">
        <v>227</v>
      </c>
      <c r="H76" s="3" t="s">
        <v>18</v>
      </c>
      <c r="I76" s="2">
        <v>1.85</v>
      </c>
      <c r="J76" s="3" t="s">
        <v>35</v>
      </c>
      <c r="K76">
        <f t="shared" si="2"/>
        <v>2025</v>
      </c>
      <c r="L76" t="str">
        <f t="shared" si="3"/>
        <v>81-90</v>
      </c>
      <c r="M76">
        <f>Table2[[#This Row],[appointment_date]]-Table2[[#This Row],[booking_date]]</f>
        <v>95</v>
      </c>
    </row>
    <row r="77" spans="1:13" x14ac:dyDescent="0.25">
      <c r="A77" s="4">
        <v>1061</v>
      </c>
      <c r="B77" s="3" t="s">
        <v>229</v>
      </c>
      <c r="C77" s="4">
        <v>66</v>
      </c>
      <c r="D77" s="3" t="s">
        <v>37</v>
      </c>
      <c r="E77" s="5">
        <v>45889</v>
      </c>
      <c r="F77" s="5">
        <v>45724</v>
      </c>
      <c r="G77" s="3" t="s">
        <v>230</v>
      </c>
      <c r="H77" s="3" t="s">
        <v>24</v>
      </c>
      <c r="I77" s="2" t="s">
        <v>2693</v>
      </c>
      <c r="J77" s="3" t="s">
        <v>35</v>
      </c>
      <c r="K77">
        <f t="shared" si="2"/>
        <v>2025</v>
      </c>
      <c r="L77" t="str">
        <f t="shared" si="3"/>
        <v>61-70</v>
      </c>
      <c r="M77">
        <f>Table2[[#This Row],[appointment_date]]-Table2[[#This Row],[booking_date]]</f>
        <v>165</v>
      </c>
    </row>
    <row r="78" spans="1:13" x14ac:dyDescent="0.25">
      <c r="A78" s="4">
        <v>1088</v>
      </c>
      <c r="B78" s="3" t="s">
        <v>231</v>
      </c>
      <c r="C78" s="4">
        <v>22</v>
      </c>
      <c r="D78" s="3" t="s">
        <v>68</v>
      </c>
      <c r="E78" s="5">
        <v>45963</v>
      </c>
      <c r="F78" s="5">
        <v>45771</v>
      </c>
      <c r="G78" s="3" t="s">
        <v>232</v>
      </c>
      <c r="H78" s="3" t="s">
        <v>28</v>
      </c>
      <c r="I78" s="2">
        <v>206.53</v>
      </c>
      <c r="J78" s="3" t="s">
        <v>35</v>
      </c>
      <c r="K78">
        <f t="shared" si="2"/>
        <v>2025</v>
      </c>
      <c r="L78" t="str">
        <f t="shared" si="3"/>
        <v>18-30</v>
      </c>
      <c r="M78">
        <f>Table2[[#This Row],[appointment_date]]-Table2[[#This Row],[booking_date]]</f>
        <v>192</v>
      </c>
    </row>
    <row r="79" spans="1:13" x14ac:dyDescent="0.25">
      <c r="A79" s="4">
        <v>1008</v>
      </c>
      <c r="B79" s="3" t="s">
        <v>233</v>
      </c>
      <c r="C79" s="4">
        <v>69</v>
      </c>
      <c r="D79" s="3" t="s">
        <v>37</v>
      </c>
      <c r="E79" s="5">
        <v>45931</v>
      </c>
      <c r="F79" s="5">
        <v>45435</v>
      </c>
      <c r="G79" s="3" t="s">
        <v>234</v>
      </c>
      <c r="H79" s="3" t="s">
        <v>18</v>
      </c>
      <c r="I79" s="2">
        <v>258.20999999999998</v>
      </c>
      <c r="J79" s="3" t="s">
        <v>30</v>
      </c>
      <c r="K79">
        <f t="shared" si="2"/>
        <v>2025</v>
      </c>
      <c r="L79" t="str">
        <f t="shared" si="3"/>
        <v>61-70</v>
      </c>
      <c r="M79">
        <f>Table2[[#This Row],[appointment_date]]-Table2[[#This Row],[booking_date]]</f>
        <v>496</v>
      </c>
    </row>
    <row r="80" spans="1:13" x14ac:dyDescent="0.25">
      <c r="A80" s="4">
        <v>1014</v>
      </c>
      <c r="B80" s="3" t="s">
        <v>235</v>
      </c>
      <c r="C80" s="4">
        <v>26</v>
      </c>
      <c r="D80" s="3" t="s">
        <v>37</v>
      </c>
      <c r="E80" s="5">
        <v>45928</v>
      </c>
      <c r="F80" s="5">
        <v>45481</v>
      </c>
      <c r="G80" s="3" t="s">
        <v>236</v>
      </c>
      <c r="H80" s="3" t="s">
        <v>13</v>
      </c>
      <c r="I80" s="2">
        <v>283.81</v>
      </c>
      <c r="J80" s="3" t="s">
        <v>35</v>
      </c>
      <c r="K80">
        <f t="shared" si="2"/>
        <v>2025</v>
      </c>
      <c r="L80" t="str">
        <f t="shared" si="3"/>
        <v>18-30</v>
      </c>
      <c r="M80">
        <f>Table2[[#This Row],[appointment_date]]-Table2[[#This Row],[booking_date]]</f>
        <v>447</v>
      </c>
    </row>
    <row r="81" spans="1:13" x14ac:dyDescent="0.25">
      <c r="A81" s="4">
        <v>1005</v>
      </c>
      <c r="B81" s="3" t="s">
        <v>238</v>
      </c>
      <c r="C81" s="4">
        <v>69</v>
      </c>
      <c r="D81" s="3" t="s">
        <v>68</v>
      </c>
      <c r="E81" s="5">
        <v>46083</v>
      </c>
      <c r="F81" s="5">
        <v>45617</v>
      </c>
      <c r="G81" s="3" t="s">
        <v>239</v>
      </c>
      <c r="H81" s="3" t="s">
        <v>28</v>
      </c>
      <c r="I81" s="2">
        <v>0.91</v>
      </c>
      <c r="J81" s="3" t="s">
        <v>35</v>
      </c>
      <c r="K81">
        <f t="shared" si="2"/>
        <v>2026</v>
      </c>
      <c r="L81" t="str">
        <f t="shared" si="3"/>
        <v>61-70</v>
      </c>
      <c r="M81">
        <f>Table2[[#This Row],[appointment_date]]-Table2[[#This Row],[booking_date]]</f>
        <v>466</v>
      </c>
    </row>
    <row r="82" spans="1:13" x14ac:dyDescent="0.25">
      <c r="A82" s="4">
        <v>1098</v>
      </c>
      <c r="B82" s="3" t="s">
        <v>241</v>
      </c>
      <c r="C82" s="4">
        <v>35</v>
      </c>
      <c r="D82" s="3" t="s">
        <v>37</v>
      </c>
      <c r="E82" s="5">
        <v>46094</v>
      </c>
      <c r="F82" s="5">
        <v>45865</v>
      </c>
      <c r="G82" s="3" t="s">
        <v>242</v>
      </c>
      <c r="H82" s="3" t="s">
        <v>18</v>
      </c>
      <c r="I82" s="2">
        <v>80.38</v>
      </c>
      <c r="J82" s="3" t="s">
        <v>35</v>
      </c>
      <c r="K82">
        <f t="shared" si="2"/>
        <v>2026</v>
      </c>
      <c r="L82" t="str">
        <f t="shared" si="3"/>
        <v>31-40</v>
      </c>
      <c r="M82">
        <f>Table2[[#This Row],[appointment_date]]-Table2[[#This Row],[booking_date]]</f>
        <v>229</v>
      </c>
    </row>
    <row r="83" spans="1:13" x14ac:dyDescent="0.25">
      <c r="A83" s="4">
        <v>1074</v>
      </c>
      <c r="B83" s="3" t="s">
        <v>243</v>
      </c>
      <c r="C83" s="4">
        <v>23</v>
      </c>
      <c r="D83" s="3" t="s">
        <v>37</v>
      </c>
      <c r="E83" s="5">
        <v>46004</v>
      </c>
      <c r="F83" s="5">
        <v>45826</v>
      </c>
      <c r="G83" s="3" t="s">
        <v>244</v>
      </c>
      <c r="H83" s="3" t="s">
        <v>18</v>
      </c>
      <c r="I83" s="2">
        <v>2.86</v>
      </c>
      <c r="J83" s="3" t="s">
        <v>35</v>
      </c>
      <c r="K83">
        <f t="shared" si="2"/>
        <v>2025</v>
      </c>
      <c r="L83" t="str">
        <f t="shared" si="3"/>
        <v>18-30</v>
      </c>
      <c r="M83">
        <f>Table2[[#This Row],[appointment_date]]-Table2[[#This Row],[booking_date]]</f>
        <v>178</v>
      </c>
    </row>
    <row r="84" spans="1:13" x14ac:dyDescent="0.25">
      <c r="A84" s="4">
        <v>1097</v>
      </c>
      <c r="B84" s="3" t="s">
        <v>246</v>
      </c>
      <c r="C84" s="4">
        <v>50</v>
      </c>
      <c r="D84" s="3" t="s">
        <v>68</v>
      </c>
      <c r="E84" s="5">
        <v>45984</v>
      </c>
      <c r="F84" s="5">
        <v>45924</v>
      </c>
      <c r="G84" s="3" t="s">
        <v>247</v>
      </c>
      <c r="H84" s="3" t="s">
        <v>18</v>
      </c>
      <c r="I84" s="2">
        <v>294.58</v>
      </c>
      <c r="J84" s="3" t="s">
        <v>35</v>
      </c>
      <c r="K84">
        <f t="shared" si="2"/>
        <v>2025</v>
      </c>
      <c r="L84" t="str">
        <f t="shared" si="3"/>
        <v>41-50</v>
      </c>
      <c r="M84">
        <f>Table2[[#This Row],[appointment_date]]-Table2[[#This Row],[booking_date]]</f>
        <v>60</v>
      </c>
    </row>
    <row r="85" spans="1:13" x14ac:dyDescent="0.25">
      <c r="A85" s="4">
        <v>1047</v>
      </c>
      <c r="B85" s="3" t="s">
        <v>248</v>
      </c>
      <c r="C85" s="4">
        <v>40</v>
      </c>
      <c r="D85" s="3" t="s">
        <v>68</v>
      </c>
      <c r="E85" s="5">
        <v>46078</v>
      </c>
      <c r="F85" s="5">
        <v>45809</v>
      </c>
      <c r="G85" s="3" t="s">
        <v>249</v>
      </c>
      <c r="H85" s="3" t="s">
        <v>18</v>
      </c>
      <c r="I85" s="2">
        <v>247.13</v>
      </c>
      <c r="J85" s="3" t="s">
        <v>35</v>
      </c>
      <c r="K85">
        <f t="shared" si="2"/>
        <v>2026</v>
      </c>
      <c r="L85" t="str">
        <f t="shared" si="3"/>
        <v>31-40</v>
      </c>
      <c r="M85">
        <f>Table2[[#This Row],[appointment_date]]-Table2[[#This Row],[booking_date]]</f>
        <v>269</v>
      </c>
    </row>
    <row r="86" spans="1:13" x14ac:dyDescent="0.25">
      <c r="A86" s="4">
        <v>1093</v>
      </c>
      <c r="B86" s="3" t="s">
        <v>250</v>
      </c>
      <c r="C86" s="4">
        <v>55</v>
      </c>
      <c r="D86" s="3"/>
      <c r="E86" s="5">
        <v>45942</v>
      </c>
      <c r="F86" s="5">
        <v>45889</v>
      </c>
      <c r="G86" s="3" t="s">
        <v>251</v>
      </c>
      <c r="H86" s="3" t="s">
        <v>24</v>
      </c>
      <c r="I86" s="2">
        <v>453.78</v>
      </c>
      <c r="J86" s="3" t="s">
        <v>30</v>
      </c>
      <c r="K86">
        <f t="shared" si="2"/>
        <v>2025</v>
      </c>
      <c r="L86" t="str">
        <f t="shared" si="3"/>
        <v>51-60</v>
      </c>
      <c r="M86">
        <f>Table2[[#This Row],[appointment_date]]-Table2[[#This Row],[booking_date]]</f>
        <v>53</v>
      </c>
    </row>
    <row r="87" spans="1:13" x14ac:dyDescent="0.25">
      <c r="A87" s="4">
        <v>1044</v>
      </c>
      <c r="B87" s="3" t="s">
        <v>253</v>
      </c>
      <c r="C87" s="4">
        <v>57</v>
      </c>
      <c r="D87" s="3" t="s">
        <v>37</v>
      </c>
      <c r="E87" s="5">
        <v>45786</v>
      </c>
      <c r="F87" s="5">
        <v>45644</v>
      </c>
      <c r="G87" s="3" t="s">
        <v>254</v>
      </c>
      <c r="H87" s="3" t="s">
        <v>18</v>
      </c>
      <c r="I87" s="2">
        <v>4.22</v>
      </c>
      <c r="J87" s="3" t="s">
        <v>30</v>
      </c>
      <c r="K87">
        <f t="shared" si="2"/>
        <v>2025</v>
      </c>
      <c r="L87" t="str">
        <f t="shared" si="3"/>
        <v>51-60</v>
      </c>
      <c r="M87">
        <f>Table2[[#This Row],[appointment_date]]-Table2[[#This Row],[booking_date]]</f>
        <v>142</v>
      </c>
    </row>
    <row r="88" spans="1:13" x14ac:dyDescent="0.25">
      <c r="A88" s="4">
        <v>1050</v>
      </c>
      <c r="B88" s="3" t="s">
        <v>256</v>
      </c>
      <c r="C88" s="4">
        <v>60</v>
      </c>
      <c r="D88" s="3" t="s">
        <v>68</v>
      </c>
      <c r="E88" s="5">
        <v>45933</v>
      </c>
      <c r="F88" s="5">
        <v>45895</v>
      </c>
      <c r="G88" s="3" t="s">
        <v>257</v>
      </c>
      <c r="H88" s="3" t="s">
        <v>28</v>
      </c>
      <c r="I88" s="2">
        <v>273.02999999999997</v>
      </c>
      <c r="J88" s="3" t="s">
        <v>35</v>
      </c>
      <c r="K88">
        <f t="shared" si="2"/>
        <v>2025</v>
      </c>
      <c r="L88" t="str">
        <f t="shared" si="3"/>
        <v>51-60</v>
      </c>
      <c r="M88">
        <f>Table2[[#This Row],[appointment_date]]-Table2[[#This Row],[booking_date]]</f>
        <v>38</v>
      </c>
    </row>
    <row r="89" spans="1:13" x14ac:dyDescent="0.25">
      <c r="A89" s="4">
        <v>1100</v>
      </c>
      <c r="B89" s="3" t="s">
        <v>259</v>
      </c>
      <c r="C89" s="4">
        <v>58</v>
      </c>
      <c r="D89" s="3" t="s">
        <v>68</v>
      </c>
      <c r="E89" s="5">
        <v>45841</v>
      </c>
      <c r="F89" s="5">
        <v>45529</v>
      </c>
      <c r="G89" s="3" t="s">
        <v>260</v>
      </c>
      <c r="H89" s="3" t="s">
        <v>24</v>
      </c>
      <c r="I89" s="2">
        <v>3.62</v>
      </c>
      <c r="J89" s="3" t="s">
        <v>30</v>
      </c>
      <c r="K89">
        <f t="shared" si="2"/>
        <v>2025</v>
      </c>
      <c r="L89" t="str">
        <f t="shared" si="3"/>
        <v>51-60</v>
      </c>
      <c r="M89">
        <f>Table2[[#This Row],[appointment_date]]-Table2[[#This Row],[booking_date]]</f>
        <v>312</v>
      </c>
    </row>
    <row r="90" spans="1:13" x14ac:dyDescent="0.25">
      <c r="A90" s="4">
        <v>1095</v>
      </c>
      <c r="B90" s="3" t="s">
        <v>262</v>
      </c>
      <c r="C90" s="4">
        <v>61</v>
      </c>
      <c r="D90" s="3" t="s">
        <v>68</v>
      </c>
      <c r="E90" s="5">
        <v>45949</v>
      </c>
      <c r="F90" s="5">
        <v>45891</v>
      </c>
      <c r="G90" s="3" t="s">
        <v>263</v>
      </c>
      <c r="H90" s="3" t="s">
        <v>24</v>
      </c>
      <c r="I90" s="2">
        <v>436.09</v>
      </c>
      <c r="J90" s="3" t="s">
        <v>30</v>
      </c>
      <c r="K90">
        <f t="shared" si="2"/>
        <v>2025</v>
      </c>
      <c r="L90" t="str">
        <f t="shared" si="3"/>
        <v>61-70</v>
      </c>
      <c r="M90">
        <f>Table2[[#This Row],[appointment_date]]-Table2[[#This Row],[booking_date]]</f>
        <v>58</v>
      </c>
    </row>
    <row r="91" spans="1:13" x14ac:dyDescent="0.25">
      <c r="A91" s="4">
        <v>1088</v>
      </c>
      <c r="B91" s="3" t="s">
        <v>265</v>
      </c>
      <c r="C91" s="4">
        <v>34</v>
      </c>
      <c r="D91" s="3" t="s">
        <v>37</v>
      </c>
      <c r="E91" s="5">
        <v>45942</v>
      </c>
      <c r="F91" s="5">
        <v>45672</v>
      </c>
      <c r="G91" s="3" t="s">
        <v>266</v>
      </c>
      <c r="H91" s="3" t="s">
        <v>13</v>
      </c>
      <c r="I91" s="2">
        <v>458.26</v>
      </c>
      <c r="J91" s="3" t="s">
        <v>35</v>
      </c>
      <c r="K91">
        <f t="shared" si="2"/>
        <v>2025</v>
      </c>
      <c r="L91" t="str">
        <f t="shared" si="3"/>
        <v>31-40</v>
      </c>
      <c r="M91">
        <f>Table2[[#This Row],[appointment_date]]-Table2[[#This Row],[booking_date]]</f>
        <v>270</v>
      </c>
    </row>
    <row r="92" spans="1:13" x14ac:dyDescent="0.25">
      <c r="A92" s="4">
        <v>1027</v>
      </c>
      <c r="B92" s="3" t="s">
        <v>268</v>
      </c>
      <c r="C92" s="4">
        <v>35</v>
      </c>
      <c r="D92" s="3" t="s">
        <v>68</v>
      </c>
      <c r="E92" s="5">
        <v>45923</v>
      </c>
      <c r="F92" s="5">
        <v>45488</v>
      </c>
      <c r="G92" s="3" t="s">
        <v>269</v>
      </c>
      <c r="H92" s="3" t="s">
        <v>18</v>
      </c>
      <c r="I92" s="2">
        <v>3.18</v>
      </c>
      <c r="J92" s="3" t="s">
        <v>35</v>
      </c>
      <c r="K92">
        <f t="shared" si="2"/>
        <v>2025</v>
      </c>
      <c r="L92" t="str">
        <f t="shared" si="3"/>
        <v>31-40</v>
      </c>
      <c r="M92">
        <f>Table2[[#This Row],[appointment_date]]-Table2[[#This Row],[booking_date]]</f>
        <v>435</v>
      </c>
    </row>
    <row r="93" spans="1:13" x14ac:dyDescent="0.25">
      <c r="A93" s="4">
        <v>1040</v>
      </c>
      <c r="B93" s="3" t="s">
        <v>271</v>
      </c>
      <c r="C93" s="4">
        <v>62</v>
      </c>
      <c r="D93" s="3"/>
      <c r="E93" s="5">
        <v>46020</v>
      </c>
      <c r="F93" s="5">
        <v>45425</v>
      </c>
      <c r="G93" s="3" t="s">
        <v>272</v>
      </c>
      <c r="H93" s="3" t="s">
        <v>13</v>
      </c>
      <c r="I93" s="2">
        <v>2.13</v>
      </c>
      <c r="J93" s="3" t="s">
        <v>35</v>
      </c>
      <c r="K93">
        <f t="shared" si="2"/>
        <v>2025</v>
      </c>
      <c r="L93" t="str">
        <f t="shared" si="3"/>
        <v>61-70</v>
      </c>
      <c r="M93">
        <f>Table2[[#This Row],[appointment_date]]-Table2[[#This Row],[booking_date]]</f>
        <v>595</v>
      </c>
    </row>
    <row r="94" spans="1:13" x14ac:dyDescent="0.25">
      <c r="A94" s="4">
        <v>1099</v>
      </c>
      <c r="B94" s="3" t="s">
        <v>274</v>
      </c>
      <c r="C94" s="4">
        <v>31</v>
      </c>
      <c r="D94" s="3" t="s">
        <v>68</v>
      </c>
      <c r="E94" s="5">
        <v>45849</v>
      </c>
      <c r="F94" s="5">
        <v>45735</v>
      </c>
      <c r="G94" s="3" t="s">
        <v>275</v>
      </c>
      <c r="H94" s="3" t="s">
        <v>18</v>
      </c>
      <c r="I94" s="2">
        <v>2.86</v>
      </c>
      <c r="J94" s="3" t="s">
        <v>35</v>
      </c>
      <c r="K94">
        <f t="shared" si="2"/>
        <v>2025</v>
      </c>
      <c r="L94" t="str">
        <f t="shared" si="3"/>
        <v>31-40</v>
      </c>
      <c r="M94">
        <f>Table2[[#This Row],[appointment_date]]-Table2[[#This Row],[booking_date]]</f>
        <v>114</v>
      </c>
    </row>
    <row r="95" spans="1:13" x14ac:dyDescent="0.25">
      <c r="A95" s="4">
        <v>1070</v>
      </c>
      <c r="B95" s="3" t="s">
        <v>277</v>
      </c>
      <c r="C95" s="4">
        <v>28</v>
      </c>
      <c r="D95" s="3" t="s">
        <v>37</v>
      </c>
      <c r="E95" s="5">
        <v>45938</v>
      </c>
      <c r="F95" s="5">
        <v>45787</v>
      </c>
      <c r="G95" s="3" t="s">
        <v>278</v>
      </c>
      <c r="H95" s="3" t="s">
        <v>24</v>
      </c>
      <c r="I95" s="2">
        <v>263.97000000000003</v>
      </c>
      <c r="J95" s="3" t="s">
        <v>30</v>
      </c>
      <c r="K95">
        <f t="shared" si="2"/>
        <v>2025</v>
      </c>
      <c r="L95" t="str">
        <f t="shared" si="3"/>
        <v>18-30</v>
      </c>
      <c r="M95">
        <f>Table2[[#This Row],[appointment_date]]-Table2[[#This Row],[booking_date]]</f>
        <v>151</v>
      </c>
    </row>
    <row r="96" spans="1:13" x14ac:dyDescent="0.25">
      <c r="A96" s="4">
        <v>1058</v>
      </c>
      <c r="B96" s="3" t="s">
        <v>280</v>
      </c>
      <c r="C96" s="4">
        <v>18</v>
      </c>
      <c r="D96" s="3" t="s">
        <v>37</v>
      </c>
      <c r="E96" s="5">
        <v>46057</v>
      </c>
      <c r="F96" s="5">
        <v>45636</v>
      </c>
      <c r="G96" s="3" t="s">
        <v>281</v>
      </c>
      <c r="H96" s="3" t="s">
        <v>28</v>
      </c>
      <c r="I96" s="2">
        <v>480.2</v>
      </c>
      <c r="J96" s="3" t="s">
        <v>30</v>
      </c>
      <c r="K96">
        <f t="shared" si="2"/>
        <v>2026</v>
      </c>
      <c r="L96" t="str">
        <f t="shared" si="3"/>
        <v>18-30</v>
      </c>
      <c r="M96">
        <f>Table2[[#This Row],[appointment_date]]-Table2[[#This Row],[booking_date]]</f>
        <v>421</v>
      </c>
    </row>
    <row r="97" spans="1:13" x14ac:dyDescent="0.25">
      <c r="A97" s="4">
        <v>1040</v>
      </c>
      <c r="B97" s="3" t="s">
        <v>283</v>
      </c>
      <c r="C97" s="4">
        <v>34</v>
      </c>
      <c r="D97" s="3" t="s">
        <v>37</v>
      </c>
      <c r="E97" s="5">
        <v>45961</v>
      </c>
      <c r="F97" s="5">
        <v>45735</v>
      </c>
      <c r="G97" s="3" t="s">
        <v>284</v>
      </c>
      <c r="H97" s="3" t="s">
        <v>24</v>
      </c>
      <c r="I97" s="2">
        <v>142.32</v>
      </c>
      <c r="J97" s="3" t="s">
        <v>30</v>
      </c>
      <c r="K97">
        <f t="shared" si="2"/>
        <v>2025</v>
      </c>
      <c r="L97" t="str">
        <f t="shared" si="3"/>
        <v>31-40</v>
      </c>
      <c r="M97">
        <f>Table2[[#This Row],[appointment_date]]-Table2[[#This Row],[booking_date]]</f>
        <v>226</v>
      </c>
    </row>
    <row r="98" spans="1:13" x14ac:dyDescent="0.25">
      <c r="A98" s="4">
        <v>1018</v>
      </c>
      <c r="B98" s="3" t="s">
        <v>285</v>
      </c>
      <c r="C98" s="4">
        <v>34</v>
      </c>
      <c r="D98" s="3" t="s">
        <v>37</v>
      </c>
      <c r="E98" s="5">
        <v>46016</v>
      </c>
      <c r="F98" s="5">
        <v>45547</v>
      </c>
      <c r="G98" s="3" t="s">
        <v>286</v>
      </c>
      <c r="H98" s="3" t="s">
        <v>13</v>
      </c>
      <c r="I98" s="2">
        <v>145.38</v>
      </c>
      <c r="J98" s="3" t="s">
        <v>30</v>
      </c>
      <c r="K98">
        <f t="shared" si="2"/>
        <v>2025</v>
      </c>
      <c r="L98" t="str">
        <f t="shared" si="3"/>
        <v>31-40</v>
      </c>
      <c r="M98">
        <f>Table2[[#This Row],[appointment_date]]-Table2[[#This Row],[booking_date]]</f>
        <v>469</v>
      </c>
    </row>
    <row r="99" spans="1:13" x14ac:dyDescent="0.25">
      <c r="A99" s="4">
        <v>1052</v>
      </c>
      <c r="B99" s="3" t="s">
        <v>288</v>
      </c>
      <c r="C99" s="4">
        <v>60</v>
      </c>
      <c r="D99" s="3" t="s">
        <v>37</v>
      </c>
      <c r="E99" s="5">
        <v>45968</v>
      </c>
      <c r="F99" s="5">
        <v>45532</v>
      </c>
      <c r="G99" s="3" t="s">
        <v>289</v>
      </c>
      <c r="H99" s="3" t="s">
        <v>28</v>
      </c>
      <c r="I99" s="2" t="s">
        <v>2693</v>
      </c>
      <c r="J99" s="3" t="s">
        <v>35</v>
      </c>
      <c r="K99">
        <f t="shared" si="2"/>
        <v>2025</v>
      </c>
      <c r="L99" t="str">
        <f t="shared" si="3"/>
        <v>51-60</v>
      </c>
      <c r="M99">
        <f>Table2[[#This Row],[appointment_date]]-Table2[[#This Row],[booking_date]]</f>
        <v>436</v>
      </c>
    </row>
    <row r="100" spans="1:13" x14ac:dyDescent="0.25">
      <c r="A100" s="4">
        <v>1031</v>
      </c>
      <c r="B100" s="3" t="s">
        <v>290</v>
      </c>
      <c r="C100" s="4">
        <v>65</v>
      </c>
      <c r="D100" s="3" t="s">
        <v>37</v>
      </c>
      <c r="E100" s="5">
        <v>45816</v>
      </c>
      <c r="F100" s="5">
        <v>45671</v>
      </c>
      <c r="G100" s="3" t="s">
        <v>291</v>
      </c>
      <c r="H100" s="3" t="s">
        <v>28</v>
      </c>
      <c r="I100" s="2">
        <v>325.25</v>
      </c>
      <c r="J100" s="3" t="s">
        <v>30</v>
      </c>
      <c r="K100">
        <f t="shared" si="2"/>
        <v>2025</v>
      </c>
      <c r="L100" t="str">
        <f t="shared" si="3"/>
        <v>61-70</v>
      </c>
      <c r="M100">
        <f>Table2[[#This Row],[appointment_date]]-Table2[[#This Row],[booking_date]]</f>
        <v>145</v>
      </c>
    </row>
    <row r="101" spans="1:13" x14ac:dyDescent="0.25">
      <c r="A101" s="4">
        <v>1028</v>
      </c>
      <c r="B101" s="3" t="s">
        <v>292</v>
      </c>
      <c r="C101" s="4">
        <v>21</v>
      </c>
      <c r="D101" s="3" t="s">
        <v>37</v>
      </c>
      <c r="E101" s="5">
        <v>45968</v>
      </c>
      <c r="F101" s="5">
        <v>45865</v>
      </c>
      <c r="G101" s="3" t="s">
        <v>293</v>
      </c>
      <c r="H101" s="3" t="s">
        <v>24</v>
      </c>
      <c r="I101" s="2">
        <v>148.85</v>
      </c>
      <c r="J101" s="3" t="s">
        <v>30</v>
      </c>
      <c r="K101">
        <f t="shared" si="2"/>
        <v>2025</v>
      </c>
      <c r="L101" t="str">
        <f t="shared" si="3"/>
        <v>18-30</v>
      </c>
      <c r="M101">
        <f>Table2[[#This Row],[appointment_date]]-Table2[[#This Row],[booking_date]]</f>
        <v>103</v>
      </c>
    </row>
    <row r="102" spans="1:13" x14ac:dyDescent="0.25">
      <c r="A102" s="4">
        <v>1089</v>
      </c>
      <c r="B102" s="3" t="s">
        <v>295</v>
      </c>
      <c r="C102" s="4">
        <v>56</v>
      </c>
      <c r="D102" s="3" t="s">
        <v>68</v>
      </c>
      <c r="E102" s="5">
        <v>46071</v>
      </c>
      <c r="F102" s="5">
        <v>45634</v>
      </c>
      <c r="G102" s="3" t="s">
        <v>296</v>
      </c>
      <c r="H102" s="3" t="s">
        <v>18</v>
      </c>
      <c r="I102" s="2">
        <v>347.68</v>
      </c>
      <c r="J102" s="3" t="s">
        <v>35</v>
      </c>
      <c r="K102">
        <f t="shared" si="2"/>
        <v>2026</v>
      </c>
      <c r="L102" t="str">
        <f t="shared" si="3"/>
        <v>51-60</v>
      </c>
      <c r="M102">
        <f>Table2[[#This Row],[appointment_date]]-Table2[[#This Row],[booking_date]]</f>
        <v>437</v>
      </c>
    </row>
    <row r="103" spans="1:13" x14ac:dyDescent="0.25">
      <c r="A103" s="4">
        <v>1092</v>
      </c>
      <c r="B103" s="3" t="s">
        <v>297</v>
      </c>
      <c r="C103" s="4">
        <v>40</v>
      </c>
      <c r="D103" s="3" t="s">
        <v>37</v>
      </c>
      <c r="E103" s="5">
        <v>46063</v>
      </c>
      <c r="F103" s="5">
        <v>46009</v>
      </c>
      <c r="G103" s="3" t="s">
        <v>298</v>
      </c>
      <c r="H103" s="3" t="s">
        <v>24</v>
      </c>
      <c r="I103" s="2">
        <v>79.36</v>
      </c>
      <c r="J103" s="3" t="s">
        <v>35</v>
      </c>
      <c r="K103">
        <f t="shared" si="2"/>
        <v>2026</v>
      </c>
      <c r="L103" t="str">
        <f t="shared" si="3"/>
        <v>31-40</v>
      </c>
      <c r="M103">
        <f>Table2[[#This Row],[appointment_date]]-Table2[[#This Row],[booking_date]]</f>
        <v>54</v>
      </c>
    </row>
    <row r="104" spans="1:13" x14ac:dyDescent="0.25">
      <c r="A104" s="4">
        <v>1088</v>
      </c>
      <c r="B104" s="3" t="s">
        <v>300</v>
      </c>
      <c r="C104" s="4">
        <v>60</v>
      </c>
      <c r="D104" s="3"/>
      <c r="E104" s="5">
        <v>46100</v>
      </c>
      <c r="F104" s="5">
        <v>45583</v>
      </c>
      <c r="G104" s="3" t="s">
        <v>301</v>
      </c>
      <c r="H104" s="3" t="s">
        <v>28</v>
      </c>
      <c r="I104" s="2">
        <v>1.35</v>
      </c>
      <c r="J104" s="3" t="s">
        <v>35</v>
      </c>
      <c r="K104">
        <f t="shared" si="2"/>
        <v>2026</v>
      </c>
      <c r="L104" t="str">
        <f t="shared" si="3"/>
        <v>51-60</v>
      </c>
      <c r="M104">
        <f>Table2[[#This Row],[appointment_date]]-Table2[[#This Row],[booking_date]]</f>
        <v>517</v>
      </c>
    </row>
    <row r="105" spans="1:13" x14ac:dyDescent="0.25">
      <c r="A105" s="4">
        <v>1058</v>
      </c>
      <c r="B105" s="3" t="s">
        <v>303</v>
      </c>
      <c r="C105" s="4">
        <v>24</v>
      </c>
      <c r="D105" s="3" t="s">
        <v>37</v>
      </c>
      <c r="E105" s="5">
        <v>46069</v>
      </c>
      <c r="F105" s="5">
        <v>45895</v>
      </c>
      <c r="G105" s="3" t="s">
        <v>304</v>
      </c>
      <c r="H105" s="3" t="s">
        <v>28</v>
      </c>
      <c r="I105" s="2">
        <v>4.63</v>
      </c>
      <c r="J105" s="3" t="s">
        <v>30</v>
      </c>
      <c r="K105">
        <f t="shared" si="2"/>
        <v>2026</v>
      </c>
      <c r="L105" t="str">
        <f t="shared" si="3"/>
        <v>18-30</v>
      </c>
      <c r="M105">
        <f>Table2[[#This Row],[appointment_date]]-Table2[[#This Row],[booking_date]]</f>
        <v>174</v>
      </c>
    </row>
    <row r="106" spans="1:13" x14ac:dyDescent="0.25">
      <c r="A106" s="4">
        <v>1078</v>
      </c>
      <c r="B106" s="3" t="s">
        <v>306</v>
      </c>
      <c r="C106" s="4">
        <v>69</v>
      </c>
      <c r="D106" s="3" t="s">
        <v>68</v>
      </c>
      <c r="E106" s="5">
        <v>45988</v>
      </c>
      <c r="F106" s="5">
        <v>45430</v>
      </c>
      <c r="G106" s="3" t="s">
        <v>307</v>
      </c>
      <c r="H106" s="3" t="s">
        <v>18</v>
      </c>
      <c r="I106" s="2">
        <v>393.31</v>
      </c>
      <c r="J106" s="3" t="s">
        <v>30</v>
      </c>
      <c r="K106">
        <f t="shared" si="2"/>
        <v>2025</v>
      </c>
      <c r="L106" t="str">
        <f t="shared" si="3"/>
        <v>61-70</v>
      </c>
      <c r="M106">
        <f>Table2[[#This Row],[appointment_date]]-Table2[[#This Row],[booking_date]]</f>
        <v>558</v>
      </c>
    </row>
    <row r="107" spans="1:13" x14ac:dyDescent="0.25">
      <c r="A107" s="4">
        <v>1027</v>
      </c>
      <c r="B107" s="3" t="s">
        <v>309</v>
      </c>
      <c r="C107" s="4">
        <v>32</v>
      </c>
      <c r="D107" s="3" t="s">
        <v>37</v>
      </c>
      <c r="E107" s="5">
        <v>46083</v>
      </c>
      <c r="F107" s="5">
        <v>46008</v>
      </c>
      <c r="G107" s="3" t="s">
        <v>310</v>
      </c>
      <c r="H107" s="3" t="s">
        <v>13</v>
      </c>
      <c r="I107" s="2">
        <v>166.66</v>
      </c>
      <c r="J107" s="3" t="s">
        <v>35</v>
      </c>
      <c r="K107">
        <f t="shared" si="2"/>
        <v>2026</v>
      </c>
      <c r="L107" t="str">
        <f t="shared" si="3"/>
        <v>31-40</v>
      </c>
      <c r="M107">
        <f>Table2[[#This Row],[appointment_date]]-Table2[[#This Row],[booking_date]]</f>
        <v>75</v>
      </c>
    </row>
    <row r="108" spans="1:13" x14ac:dyDescent="0.25">
      <c r="A108" s="4">
        <v>1062</v>
      </c>
      <c r="B108" s="3" t="s">
        <v>312</v>
      </c>
      <c r="C108" s="4">
        <v>60</v>
      </c>
      <c r="D108" s="3" t="s">
        <v>68</v>
      </c>
      <c r="E108" s="5">
        <v>46049</v>
      </c>
      <c r="F108" s="5">
        <v>46040</v>
      </c>
      <c r="G108" s="3" t="s">
        <v>313</v>
      </c>
      <c r="H108" s="3" t="s">
        <v>13</v>
      </c>
      <c r="I108" s="2">
        <v>283.83</v>
      </c>
      <c r="J108" s="3" t="s">
        <v>30</v>
      </c>
      <c r="K108">
        <f t="shared" si="2"/>
        <v>2026</v>
      </c>
      <c r="L108" t="str">
        <f t="shared" si="3"/>
        <v>51-60</v>
      </c>
      <c r="M108">
        <f>Table2[[#This Row],[appointment_date]]-Table2[[#This Row],[booking_date]]</f>
        <v>9</v>
      </c>
    </row>
    <row r="109" spans="1:13" x14ac:dyDescent="0.25">
      <c r="A109" s="4">
        <v>1015</v>
      </c>
      <c r="B109" s="3" t="s">
        <v>315</v>
      </c>
      <c r="C109" s="4">
        <v>68</v>
      </c>
      <c r="D109" s="3" t="s">
        <v>37</v>
      </c>
      <c r="E109" s="5">
        <v>45998</v>
      </c>
      <c r="F109" s="5">
        <v>45740</v>
      </c>
      <c r="G109" s="3" t="s">
        <v>316</v>
      </c>
      <c r="H109" s="3" t="s">
        <v>18</v>
      </c>
      <c r="I109" s="2">
        <v>402.95</v>
      </c>
      <c r="J109" s="3" t="s">
        <v>35</v>
      </c>
      <c r="K109">
        <f t="shared" si="2"/>
        <v>2025</v>
      </c>
      <c r="L109" t="str">
        <f t="shared" si="3"/>
        <v>61-70</v>
      </c>
      <c r="M109">
        <f>Table2[[#This Row],[appointment_date]]-Table2[[#This Row],[booking_date]]</f>
        <v>258</v>
      </c>
    </row>
    <row r="110" spans="1:13" x14ac:dyDescent="0.25">
      <c r="A110" s="4">
        <v>1018</v>
      </c>
      <c r="B110" s="3" t="s">
        <v>318</v>
      </c>
      <c r="C110" s="4">
        <v>53</v>
      </c>
      <c r="D110" s="3"/>
      <c r="E110" s="5">
        <v>45941</v>
      </c>
      <c r="F110" s="5">
        <v>45381</v>
      </c>
      <c r="G110" s="3" t="s">
        <v>319</v>
      </c>
      <c r="H110" s="3" t="s">
        <v>24</v>
      </c>
      <c r="I110" s="2">
        <v>277.20999999999998</v>
      </c>
      <c r="J110" s="3" t="s">
        <v>35</v>
      </c>
      <c r="K110">
        <f t="shared" si="2"/>
        <v>2025</v>
      </c>
      <c r="L110" t="str">
        <f t="shared" si="3"/>
        <v>51-60</v>
      </c>
      <c r="M110">
        <f>Table2[[#This Row],[appointment_date]]-Table2[[#This Row],[booking_date]]</f>
        <v>560</v>
      </c>
    </row>
    <row r="111" spans="1:13" x14ac:dyDescent="0.25">
      <c r="A111" s="4">
        <v>1061</v>
      </c>
      <c r="B111" s="3" t="s">
        <v>320</v>
      </c>
      <c r="C111" s="4">
        <v>18</v>
      </c>
      <c r="D111" s="3" t="s">
        <v>68</v>
      </c>
      <c r="E111" s="5">
        <v>46103</v>
      </c>
      <c r="F111" s="5">
        <v>45570</v>
      </c>
      <c r="G111" s="3" t="s">
        <v>321</v>
      </c>
      <c r="H111" s="3" t="s">
        <v>24</v>
      </c>
      <c r="I111" s="2">
        <v>112.64</v>
      </c>
      <c r="J111" s="3" t="s">
        <v>30</v>
      </c>
      <c r="K111">
        <f t="shared" si="2"/>
        <v>2026</v>
      </c>
      <c r="L111" t="str">
        <f t="shared" si="3"/>
        <v>18-30</v>
      </c>
      <c r="M111">
        <f>Table2[[#This Row],[appointment_date]]-Table2[[#This Row],[booking_date]]</f>
        <v>533</v>
      </c>
    </row>
    <row r="112" spans="1:13" x14ac:dyDescent="0.25">
      <c r="A112" s="4">
        <v>1013</v>
      </c>
      <c r="B112" s="3" t="s">
        <v>323</v>
      </c>
      <c r="C112" s="4">
        <v>60</v>
      </c>
      <c r="D112" s="3" t="s">
        <v>37</v>
      </c>
      <c r="E112" s="5">
        <v>45759</v>
      </c>
      <c r="F112" s="5">
        <v>45680</v>
      </c>
      <c r="G112" s="3" t="s">
        <v>324</v>
      </c>
      <c r="H112" s="3" t="s">
        <v>24</v>
      </c>
      <c r="I112" s="2">
        <v>108.57</v>
      </c>
      <c r="J112" s="3" t="s">
        <v>35</v>
      </c>
      <c r="K112">
        <f t="shared" si="2"/>
        <v>2025</v>
      </c>
      <c r="L112" t="str">
        <f t="shared" si="3"/>
        <v>51-60</v>
      </c>
      <c r="M112">
        <f>Table2[[#This Row],[appointment_date]]-Table2[[#This Row],[booking_date]]</f>
        <v>79</v>
      </c>
    </row>
    <row r="113" spans="1:13" x14ac:dyDescent="0.25">
      <c r="A113" s="4">
        <v>1087</v>
      </c>
      <c r="B113" s="3" t="s">
        <v>326</v>
      </c>
      <c r="C113" s="4">
        <v>72</v>
      </c>
      <c r="D113" s="3" t="s">
        <v>37</v>
      </c>
      <c r="E113" s="5">
        <v>45834</v>
      </c>
      <c r="F113" s="5">
        <v>45796</v>
      </c>
      <c r="G113" s="3" t="s">
        <v>327</v>
      </c>
      <c r="H113" s="3" t="s">
        <v>28</v>
      </c>
      <c r="I113" s="2">
        <v>2.2599999999999998</v>
      </c>
      <c r="J113" s="3" t="s">
        <v>35</v>
      </c>
      <c r="K113">
        <f t="shared" si="2"/>
        <v>2025</v>
      </c>
      <c r="L113" t="str">
        <f t="shared" si="3"/>
        <v>71-80</v>
      </c>
      <c r="M113">
        <f>Table2[[#This Row],[appointment_date]]-Table2[[#This Row],[booking_date]]</f>
        <v>38</v>
      </c>
    </row>
    <row r="114" spans="1:13" x14ac:dyDescent="0.25">
      <c r="A114" s="4">
        <v>1090</v>
      </c>
      <c r="B114" s="3" t="s">
        <v>329</v>
      </c>
      <c r="C114" s="4">
        <v>63</v>
      </c>
      <c r="D114" s="3" t="s">
        <v>37</v>
      </c>
      <c r="E114" s="5">
        <v>46019</v>
      </c>
      <c r="F114" s="5">
        <v>46013</v>
      </c>
      <c r="G114" s="3" t="s">
        <v>330</v>
      </c>
      <c r="H114" s="3" t="s">
        <v>24</v>
      </c>
      <c r="I114" s="2">
        <v>1.71</v>
      </c>
      <c r="J114" s="3" t="s">
        <v>35</v>
      </c>
      <c r="K114">
        <f t="shared" si="2"/>
        <v>2025</v>
      </c>
      <c r="L114" t="str">
        <f t="shared" si="3"/>
        <v>61-70</v>
      </c>
      <c r="M114">
        <f>Table2[[#This Row],[appointment_date]]-Table2[[#This Row],[booking_date]]</f>
        <v>6</v>
      </c>
    </row>
    <row r="115" spans="1:13" x14ac:dyDescent="0.25">
      <c r="A115" s="4">
        <v>1086</v>
      </c>
      <c r="B115" s="3" t="s">
        <v>332</v>
      </c>
      <c r="C115" s="4">
        <v>80</v>
      </c>
      <c r="D115" s="3" t="s">
        <v>37</v>
      </c>
      <c r="E115" s="5">
        <v>45992</v>
      </c>
      <c r="F115" s="5">
        <v>45593</v>
      </c>
      <c r="G115" s="3" t="s">
        <v>333</v>
      </c>
      <c r="H115" s="3" t="s">
        <v>18</v>
      </c>
      <c r="I115" s="2">
        <v>493</v>
      </c>
      <c r="J115" s="3" t="s">
        <v>35</v>
      </c>
      <c r="K115">
        <f t="shared" si="2"/>
        <v>2025</v>
      </c>
      <c r="L115" t="str">
        <f t="shared" si="3"/>
        <v>71-80</v>
      </c>
      <c r="M115">
        <f>Table2[[#This Row],[appointment_date]]-Table2[[#This Row],[booking_date]]</f>
        <v>399</v>
      </c>
    </row>
    <row r="116" spans="1:13" x14ac:dyDescent="0.25">
      <c r="A116" s="4">
        <v>1047</v>
      </c>
      <c r="B116" s="3" t="s">
        <v>334</v>
      </c>
      <c r="C116" s="4">
        <v>39</v>
      </c>
      <c r="D116" s="3" t="s">
        <v>68</v>
      </c>
      <c r="E116" s="5">
        <v>45983</v>
      </c>
      <c r="F116" s="5">
        <v>45610</v>
      </c>
      <c r="G116" s="3" t="s">
        <v>335</v>
      </c>
      <c r="H116" s="3" t="s">
        <v>24</v>
      </c>
      <c r="I116" s="2">
        <v>243.15</v>
      </c>
      <c r="J116" s="3" t="s">
        <v>30</v>
      </c>
      <c r="K116">
        <f t="shared" si="2"/>
        <v>2025</v>
      </c>
      <c r="L116" t="str">
        <f t="shared" si="3"/>
        <v>31-40</v>
      </c>
      <c r="M116">
        <f>Table2[[#This Row],[appointment_date]]-Table2[[#This Row],[booking_date]]</f>
        <v>373</v>
      </c>
    </row>
    <row r="117" spans="1:13" x14ac:dyDescent="0.25">
      <c r="A117" s="4">
        <v>1014</v>
      </c>
      <c r="B117" s="3" t="s">
        <v>336</v>
      </c>
      <c r="C117" s="4">
        <v>81</v>
      </c>
      <c r="D117" s="3" t="s">
        <v>37</v>
      </c>
      <c r="E117" s="5">
        <v>45809</v>
      </c>
      <c r="F117" s="5">
        <v>45523</v>
      </c>
      <c r="G117" s="3" t="s">
        <v>337</v>
      </c>
      <c r="H117" s="3" t="s">
        <v>13</v>
      </c>
      <c r="I117" s="2">
        <v>137.31</v>
      </c>
      <c r="J117" s="3" t="s">
        <v>30</v>
      </c>
      <c r="K117">
        <f t="shared" si="2"/>
        <v>2025</v>
      </c>
      <c r="L117" t="str">
        <f t="shared" si="3"/>
        <v>81-90</v>
      </c>
      <c r="M117">
        <f>Table2[[#This Row],[appointment_date]]-Table2[[#This Row],[booking_date]]</f>
        <v>286</v>
      </c>
    </row>
    <row r="118" spans="1:13" x14ac:dyDescent="0.25">
      <c r="A118" s="4">
        <v>1047</v>
      </c>
      <c r="B118" s="3" t="s">
        <v>339</v>
      </c>
      <c r="C118" s="4">
        <v>38</v>
      </c>
      <c r="D118" s="3" t="s">
        <v>68</v>
      </c>
      <c r="E118" s="5">
        <v>46006</v>
      </c>
      <c r="F118" s="5">
        <v>45651</v>
      </c>
      <c r="G118" s="3" t="s">
        <v>340</v>
      </c>
      <c r="H118" s="3" t="s">
        <v>13</v>
      </c>
      <c r="I118" s="2">
        <v>133.44999999999999</v>
      </c>
      <c r="J118" s="3" t="s">
        <v>35</v>
      </c>
      <c r="K118">
        <f t="shared" si="2"/>
        <v>2025</v>
      </c>
      <c r="L118" t="str">
        <f t="shared" si="3"/>
        <v>31-40</v>
      </c>
      <c r="M118">
        <f>Table2[[#This Row],[appointment_date]]-Table2[[#This Row],[booking_date]]</f>
        <v>355</v>
      </c>
    </row>
    <row r="119" spans="1:13" x14ac:dyDescent="0.25">
      <c r="A119" s="4">
        <v>1073</v>
      </c>
      <c r="B119" s="3" t="s">
        <v>342</v>
      </c>
      <c r="C119" s="4">
        <v>38</v>
      </c>
      <c r="D119" s="3" t="s">
        <v>37</v>
      </c>
      <c r="E119" s="5">
        <v>45990</v>
      </c>
      <c r="F119" s="5">
        <v>45849</v>
      </c>
      <c r="G119" s="3" t="s">
        <v>343</v>
      </c>
      <c r="H119" s="3" t="s">
        <v>18</v>
      </c>
      <c r="I119" s="2">
        <v>3.69</v>
      </c>
      <c r="J119" s="3" t="s">
        <v>30</v>
      </c>
      <c r="K119">
        <f t="shared" si="2"/>
        <v>2025</v>
      </c>
      <c r="L119" t="str">
        <f t="shared" si="3"/>
        <v>31-40</v>
      </c>
      <c r="M119">
        <f>Table2[[#This Row],[appointment_date]]-Table2[[#This Row],[booking_date]]</f>
        <v>141</v>
      </c>
    </row>
    <row r="120" spans="1:13" x14ac:dyDescent="0.25">
      <c r="A120" s="4">
        <v>1093</v>
      </c>
      <c r="B120" s="3" t="s">
        <v>345</v>
      </c>
      <c r="C120" s="4">
        <v>79</v>
      </c>
      <c r="D120" s="3" t="s">
        <v>37</v>
      </c>
      <c r="E120" s="5">
        <v>45745</v>
      </c>
      <c r="F120" s="5">
        <v>45470</v>
      </c>
      <c r="G120" s="3" t="s">
        <v>346</v>
      </c>
      <c r="H120" s="3" t="s">
        <v>18</v>
      </c>
      <c r="I120" s="2">
        <v>205.21</v>
      </c>
      <c r="J120" s="3" t="s">
        <v>35</v>
      </c>
      <c r="K120">
        <f t="shared" si="2"/>
        <v>2025</v>
      </c>
      <c r="L120" t="str">
        <f t="shared" si="3"/>
        <v>71-80</v>
      </c>
      <c r="M120">
        <f>Table2[[#This Row],[appointment_date]]-Table2[[#This Row],[booking_date]]</f>
        <v>275</v>
      </c>
    </row>
    <row r="121" spans="1:13" x14ac:dyDescent="0.25">
      <c r="A121" s="4">
        <v>1027</v>
      </c>
      <c r="B121" s="3" t="s">
        <v>348</v>
      </c>
      <c r="C121" s="4">
        <v>54</v>
      </c>
      <c r="D121" s="3" t="s">
        <v>37</v>
      </c>
      <c r="E121" s="5">
        <v>46018</v>
      </c>
      <c r="F121" s="5">
        <v>45804</v>
      </c>
      <c r="G121" s="3" t="s">
        <v>349</v>
      </c>
      <c r="H121" s="3" t="s">
        <v>18</v>
      </c>
      <c r="I121" s="2">
        <v>412.07</v>
      </c>
      <c r="J121" s="3" t="s">
        <v>30</v>
      </c>
      <c r="K121">
        <f t="shared" si="2"/>
        <v>2025</v>
      </c>
      <c r="L121" t="str">
        <f t="shared" si="3"/>
        <v>51-60</v>
      </c>
      <c r="M121">
        <f>Table2[[#This Row],[appointment_date]]-Table2[[#This Row],[booking_date]]</f>
        <v>214</v>
      </c>
    </row>
    <row r="122" spans="1:13" x14ac:dyDescent="0.25">
      <c r="A122" s="4">
        <v>1037</v>
      </c>
      <c r="B122" s="3" t="s">
        <v>350</v>
      </c>
      <c r="C122" s="4">
        <v>22</v>
      </c>
      <c r="D122" s="3" t="s">
        <v>37</v>
      </c>
      <c r="E122" s="5">
        <v>46081</v>
      </c>
      <c r="F122" s="5">
        <v>45738</v>
      </c>
      <c r="G122" s="3" t="s">
        <v>351</v>
      </c>
      <c r="H122" s="3" t="s">
        <v>24</v>
      </c>
      <c r="I122" s="2">
        <v>4.41</v>
      </c>
      <c r="J122" s="3" t="s">
        <v>35</v>
      </c>
      <c r="K122">
        <f t="shared" si="2"/>
        <v>2026</v>
      </c>
      <c r="L122" t="str">
        <f t="shared" si="3"/>
        <v>18-30</v>
      </c>
      <c r="M122">
        <f>Table2[[#This Row],[appointment_date]]-Table2[[#This Row],[booking_date]]</f>
        <v>343</v>
      </c>
    </row>
    <row r="123" spans="1:13" x14ac:dyDescent="0.25">
      <c r="A123" s="4">
        <v>1021</v>
      </c>
      <c r="B123" s="3" t="s">
        <v>353</v>
      </c>
      <c r="C123" s="4">
        <v>27</v>
      </c>
      <c r="D123" s="3" t="s">
        <v>37</v>
      </c>
      <c r="E123" s="5">
        <v>45781</v>
      </c>
      <c r="F123" s="5">
        <v>45484</v>
      </c>
      <c r="G123" s="3" t="s">
        <v>354</v>
      </c>
      <c r="H123" s="3" t="s">
        <v>28</v>
      </c>
      <c r="I123" s="2">
        <v>486.57</v>
      </c>
      <c r="J123" s="3" t="s">
        <v>35</v>
      </c>
      <c r="K123">
        <f t="shared" si="2"/>
        <v>2025</v>
      </c>
      <c r="L123" t="str">
        <f t="shared" si="3"/>
        <v>18-30</v>
      </c>
      <c r="M123">
        <f>Table2[[#This Row],[appointment_date]]-Table2[[#This Row],[booking_date]]</f>
        <v>297</v>
      </c>
    </row>
    <row r="124" spans="1:13" x14ac:dyDescent="0.25">
      <c r="A124" s="4">
        <v>1007</v>
      </c>
      <c r="B124" s="3" t="s">
        <v>355</v>
      </c>
      <c r="C124" s="4">
        <v>20</v>
      </c>
      <c r="D124" s="3" t="s">
        <v>68</v>
      </c>
      <c r="E124" s="5">
        <v>45977</v>
      </c>
      <c r="F124" s="5">
        <v>45918</v>
      </c>
      <c r="G124" s="3" t="s">
        <v>356</v>
      </c>
      <c r="H124" s="3" t="s">
        <v>28</v>
      </c>
      <c r="I124" s="2">
        <v>641.39</v>
      </c>
      <c r="J124" s="3" t="s">
        <v>30</v>
      </c>
      <c r="K124">
        <f t="shared" si="2"/>
        <v>2025</v>
      </c>
      <c r="L124" t="str">
        <f t="shared" si="3"/>
        <v>18-30</v>
      </c>
      <c r="M124">
        <f>Table2[[#This Row],[appointment_date]]-Table2[[#This Row],[booking_date]]</f>
        <v>59</v>
      </c>
    </row>
    <row r="125" spans="1:13" x14ac:dyDescent="0.25">
      <c r="A125" s="4">
        <v>1043</v>
      </c>
      <c r="B125" s="3" t="s">
        <v>358</v>
      </c>
      <c r="C125" s="4">
        <v>31</v>
      </c>
      <c r="D125" s="3" t="s">
        <v>68</v>
      </c>
      <c r="E125" s="5">
        <v>45841</v>
      </c>
      <c r="F125" s="5">
        <v>45773</v>
      </c>
      <c r="G125" s="3" t="s">
        <v>359</v>
      </c>
      <c r="H125" s="3" t="s">
        <v>18</v>
      </c>
      <c r="I125" s="2">
        <v>286.52</v>
      </c>
      <c r="J125" s="3" t="s">
        <v>30</v>
      </c>
      <c r="K125">
        <f t="shared" si="2"/>
        <v>2025</v>
      </c>
      <c r="L125" t="str">
        <f t="shared" si="3"/>
        <v>31-40</v>
      </c>
      <c r="M125">
        <f>Table2[[#This Row],[appointment_date]]-Table2[[#This Row],[booking_date]]</f>
        <v>68</v>
      </c>
    </row>
    <row r="126" spans="1:13" x14ac:dyDescent="0.25">
      <c r="A126" s="4">
        <v>1081</v>
      </c>
      <c r="B126" s="3" t="s">
        <v>361</v>
      </c>
      <c r="C126" s="4">
        <v>86</v>
      </c>
      <c r="D126" s="3" t="s">
        <v>68</v>
      </c>
      <c r="E126" s="5">
        <v>45861</v>
      </c>
      <c r="F126" s="5">
        <v>45769</v>
      </c>
      <c r="G126" s="3" t="s">
        <v>362</v>
      </c>
      <c r="H126" s="3" t="s">
        <v>28</v>
      </c>
      <c r="I126" s="2">
        <v>289.08999999999997</v>
      </c>
      <c r="J126" s="3" t="s">
        <v>30</v>
      </c>
      <c r="K126">
        <f t="shared" si="2"/>
        <v>2025</v>
      </c>
      <c r="L126" t="str">
        <f t="shared" si="3"/>
        <v>81-90</v>
      </c>
      <c r="M126">
        <f>Table2[[#This Row],[appointment_date]]-Table2[[#This Row],[booking_date]]</f>
        <v>92</v>
      </c>
    </row>
    <row r="127" spans="1:13" x14ac:dyDescent="0.25">
      <c r="A127" s="4">
        <v>1053</v>
      </c>
      <c r="B127" s="3" t="s">
        <v>364</v>
      </c>
      <c r="C127" s="4">
        <v>81</v>
      </c>
      <c r="D127" s="3"/>
      <c r="E127" s="5">
        <v>45770</v>
      </c>
      <c r="F127" s="5">
        <v>45656</v>
      </c>
      <c r="G127" s="3" t="s">
        <v>365</v>
      </c>
      <c r="H127" s="3" t="s">
        <v>28</v>
      </c>
      <c r="I127" s="2">
        <v>162.94</v>
      </c>
      <c r="J127" s="3" t="s">
        <v>30</v>
      </c>
      <c r="K127">
        <f t="shared" si="2"/>
        <v>2025</v>
      </c>
      <c r="L127" t="str">
        <f t="shared" si="3"/>
        <v>81-90</v>
      </c>
      <c r="M127">
        <f>Table2[[#This Row],[appointment_date]]-Table2[[#This Row],[booking_date]]</f>
        <v>114</v>
      </c>
    </row>
    <row r="128" spans="1:13" x14ac:dyDescent="0.25">
      <c r="A128" s="4">
        <v>1035</v>
      </c>
      <c r="B128" s="3" t="s">
        <v>366</v>
      </c>
      <c r="C128" s="4">
        <v>58</v>
      </c>
      <c r="D128" s="3" t="s">
        <v>68</v>
      </c>
      <c r="E128" s="5">
        <v>46045</v>
      </c>
      <c r="F128" s="5">
        <v>45396</v>
      </c>
      <c r="G128" s="3" t="s">
        <v>367</v>
      </c>
      <c r="H128" s="3" t="s">
        <v>13</v>
      </c>
      <c r="I128" s="2">
        <v>203.56</v>
      </c>
      <c r="J128" s="3" t="s">
        <v>35</v>
      </c>
      <c r="K128">
        <f t="shared" si="2"/>
        <v>2026</v>
      </c>
      <c r="L128" t="str">
        <f t="shared" si="3"/>
        <v>51-60</v>
      </c>
      <c r="M128">
        <f>Table2[[#This Row],[appointment_date]]-Table2[[#This Row],[booking_date]]</f>
        <v>649</v>
      </c>
    </row>
    <row r="129" spans="1:13" x14ac:dyDescent="0.25">
      <c r="A129" s="4">
        <v>1036</v>
      </c>
      <c r="B129" s="3" t="s">
        <v>369</v>
      </c>
      <c r="C129" s="4">
        <v>38</v>
      </c>
      <c r="D129" s="3" t="s">
        <v>68</v>
      </c>
      <c r="E129" s="5">
        <v>45742</v>
      </c>
      <c r="F129" s="5">
        <v>45718</v>
      </c>
      <c r="G129" s="3" t="s">
        <v>370</v>
      </c>
      <c r="H129" s="3" t="s">
        <v>13</v>
      </c>
      <c r="I129" s="2">
        <v>152.47</v>
      </c>
      <c r="J129" s="3" t="s">
        <v>30</v>
      </c>
      <c r="K129">
        <f t="shared" si="2"/>
        <v>2025</v>
      </c>
      <c r="L129" t="str">
        <f t="shared" si="3"/>
        <v>31-40</v>
      </c>
      <c r="M129">
        <f>Table2[[#This Row],[appointment_date]]-Table2[[#This Row],[booking_date]]</f>
        <v>24</v>
      </c>
    </row>
    <row r="130" spans="1:13" x14ac:dyDescent="0.25">
      <c r="A130" s="4">
        <v>1052</v>
      </c>
      <c r="B130" s="3" t="s">
        <v>372</v>
      </c>
      <c r="C130" s="4">
        <v>22</v>
      </c>
      <c r="D130" s="3" t="s">
        <v>37</v>
      </c>
      <c r="E130" s="5">
        <v>45954</v>
      </c>
      <c r="F130" s="5">
        <v>45663</v>
      </c>
      <c r="G130" s="3" t="s">
        <v>373</v>
      </c>
      <c r="H130" s="3" t="s">
        <v>18</v>
      </c>
      <c r="I130" s="2">
        <v>507.55</v>
      </c>
      <c r="J130" s="3" t="s">
        <v>30</v>
      </c>
      <c r="K130">
        <f t="shared" si="2"/>
        <v>2025</v>
      </c>
      <c r="L130" t="str">
        <f t="shared" si="3"/>
        <v>18-30</v>
      </c>
      <c r="M130">
        <f>Table2[[#This Row],[appointment_date]]-Table2[[#This Row],[booking_date]]</f>
        <v>291</v>
      </c>
    </row>
    <row r="131" spans="1:13" x14ac:dyDescent="0.25">
      <c r="A131" s="4">
        <v>1058</v>
      </c>
      <c r="B131" s="3" t="s">
        <v>375</v>
      </c>
      <c r="C131" s="4">
        <v>83</v>
      </c>
      <c r="D131" s="3" t="s">
        <v>37</v>
      </c>
      <c r="E131" s="5">
        <v>46009</v>
      </c>
      <c r="F131" s="5">
        <v>45768</v>
      </c>
      <c r="G131" s="3" t="s">
        <v>376</v>
      </c>
      <c r="H131" s="3" t="s">
        <v>24</v>
      </c>
      <c r="I131" s="2">
        <v>286.56</v>
      </c>
      <c r="J131" s="3" t="s">
        <v>35</v>
      </c>
      <c r="K131">
        <f t="shared" ref="K131:K194" si="4">YEAR(E131)</f>
        <v>2025</v>
      </c>
      <c r="L131" t="str">
        <f t="shared" ref="L131:L194" si="5">IF(C131="","",IF(C131&lt;=30,"18-30",IF(C131&lt;=40,"31-40",IF(C131&lt;=50,"41-50",IF(C131&lt;=60,"51-60",IF(C131&lt;=70,"61-70",IF(C131&lt;=80,"71-80","81-90")))))))</f>
        <v>81-90</v>
      </c>
      <c r="M131">
        <f>Table2[[#This Row],[appointment_date]]-Table2[[#This Row],[booking_date]]</f>
        <v>241</v>
      </c>
    </row>
    <row r="132" spans="1:13" x14ac:dyDescent="0.25">
      <c r="A132" s="4">
        <v>1074</v>
      </c>
      <c r="B132" s="3" t="s">
        <v>378</v>
      </c>
      <c r="C132" s="4">
        <v>19</v>
      </c>
      <c r="D132" s="3" t="s">
        <v>37</v>
      </c>
      <c r="E132" s="5">
        <v>45771</v>
      </c>
      <c r="F132" s="5">
        <v>45573</v>
      </c>
      <c r="G132" s="3" t="s">
        <v>379</v>
      </c>
      <c r="H132" s="3" t="s">
        <v>24</v>
      </c>
      <c r="I132" s="2">
        <v>455.75</v>
      </c>
      <c r="J132" s="3" t="s">
        <v>30</v>
      </c>
      <c r="K132">
        <f t="shared" si="4"/>
        <v>2025</v>
      </c>
      <c r="L132" t="str">
        <f t="shared" si="5"/>
        <v>18-30</v>
      </c>
      <c r="M132">
        <f>Table2[[#This Row],[appointment_date]]-Table2[[#This Row],[booking_date]]</f>
        <v>198</v>
      </c>
    </row>
    <row r="133" spans="1:13" x14ac:dyDescent="0.25">
      <c r="A133" s="4">
        <v>1018</v>
      </c>
      <c r="B133" s="3" t="s">
        <v>380</v>
      </c>
      <c r="C133" s="4">
        <v>54</v>
      </c>
      <c r="D133" s="3" t="s">
        <v>37</v>
      </c>
      <c r="E133" s="5">
        <v>46106</v>
      </c>
      <c r="F133" s="5">
        <v>45540</v>
      </c>
      <c r="G133" s="3" t="s">
        <v>381</v>
      </c>
      <c r="H133" s="3" t="s">
        <v>28</v>
      </c>
      <c r="I133" s="2">
        <v>433.54</v>
      </c>
      <c r="J133" s="3" t="s">
        <v>35</v>
      </c>
      <c r="K133">
        <f t="shared" si="4"/>
        <v>2026</v>
      </c>
      <c r="L133" t="str">
        <f t="shared" si="5"/>
        <v>51-60</v>
      </c>
      <c r="M133">
        <f>Table2[[#This Row],[appointment_date]]-Table2[[#This Row],[booking_date]]</f>
        <v>566</v>
      </c>
    </row>
    <row r="134" spans="1:13" x14ac:dyDescent="0.25">
      <c r="A134" s="4">
        <v>1033</v>
      </c>
      <c r="B134" s="3" t="s">
        <v>383</v>
      </c>
      <c r="C134" s="4">
        <v>68</v>
      </c>
      <c r="D134" s="3" t="s">
        <v>68</v>
      </c>
      <c r="E134" s="5">
        <v>45958</v>
      </c>
      <c r="F134" s="5">
        <v>45581</v>
      </c>
      <c r="G134" s="3" t="s">
        <v>214</v>
      </c>
      <c r="H134" s="3" t="s">
        <v>28</v>
      </c>
      <c r="I134" s="2">
        <v>468.06</v>
      </c>
      <c r="J134" s="3" t="s">
        <v>35</v>
      </c>
      <c r="K134">
        <f t="shared" si="4"/>
        <v>2025</v>
      </c>
      <c r="L134" t="str">
        <f t="shared" si="5"/>
        <v>61-70</v>
      </c>
      <c r="M134">
        <f>Table2[[#This Row],[appointment_date]]-Table2[[#This Row],[booking_date]]</f>
        <v>377</v>
      </c>
    </row>
    <row r="135" spans="1:13" x14ac:dyDescent="0.25">
      <c r="A135" s="4">
        <v>1045</v>
      </c>
      <c r="B135" s="3" t="s">
        <v>384</v>
      </c>
      <c r="C135" s="4">
        <v>55</v>
      </c>
      <c r="D135" s="3" t="s">
        <v>37</v>
      </c>
      <c r="E135" s="5">
        <v>46024</v>
      </c>
      <c r="F135" s="5">
        <v>45393</v>
      </c>
      <c r="G135" s="3" t="s">
        <v>385</v>
      </c>
      <c r="H135" s="3" t="s">
        <v>28</v>
      </c>
      <c r="I135" s="2">
        <v>501.6</v>
      </c>
      <c r="J135" s="3" t="s">
        <v>35</v>
      </c>
      <c r="K135">
        <f t="shared" si="4"/>
        <v>2026</v>
      </c>
      <c r="L135" t="str">
        <f t="shared" si="5"/>
        <v>51-60</v>
      </c>
      <c r="M135">
        <f>Table2[[#This Row],[appointment_date]]-Table2[[#This Row],[booking_date]]</f>
        <v>631</v>
      </c>
    </row>
    <row r="136" spans="1:13" x14ac:dyDescent="0.25">
      <c r="A136" s="4">
        <v>1087</v>
      </c>
      <c r="B136" s="3" t="s">
        <v>387</v>
      </c>
      <c r="C136" s="4">
        <v>80</v>
      </c>
      <c r="D136" s="3" t="s">
        <v>68</v>
      </c>
      <c r="E136" s="5">
        <v>46029</v>
      </c>
      <c r="F136" s="5">
        <v>45438</v>
      </c>
      <c r="G136" s="3" t="s">
        <v>388</v>
      </c>
      <c r="H136" s="3" t="s">
        <v>24</v>
      </c>
      <c r="I136" s="2">
        <v>87.2</v>
      </c>
      <c r="J136" s="3" t="s">
        <v>30</v>
      </c>
      <c r="K136">
        <f t="shared" si="4"/>
        <v>2026</v>
      </c>
      <c r="L136" t="str">
        <f t="shared" si="5"/>
        <v>71-80</v>
      </c>
      <c r="M136">
        <f>Table2[[#This Row],[appointment_date]]-Table2[[#This Row],[booking_date]]</f>
        <v>591</v>
      </c>
    </row>
    <row r="137" spans="1:13" x14ac:dyDescent="0.25">
      <c r="A137" s="4">
        <v>1043</v>
      </c>
      <c r="B137" s="3" t="s">
        <v>389</v>
      </c>
      <c r="C137" s="4">
        <v>58</v>
      </c>
      <c r="D137" s="3" t="s">
        <v>68</v>
      </c>
      <c r="E137" s="5">
        <v>45967</v>
      </c>
      <c r="F137" s="5">
        <v>45792</v>
      </c>
      <c r="G137" s="3" t="s">
        <v>390</v>
      </c>
      <c r="H137" s="3" t="s">
        <v>13</v>
      </c>
      <c r="I137" s="2">
        <v>226.97</v>
      </c>
      <c r="J137" s="3" t="s">
        <v>30</v>
      </c>
      <c r="K137">
        <f t="shared" si="4"/>
        <v>2025</v>
      </c>
      <c r="L137" t="str">
        <f t="shared" si="5"/>
        <v>51-60</v>
      </c>
      <c r="M137">
        <f>Table2[[#This Row],[appointment_date]]-Table2[[#This Row],[booking_date]]</f>
        <v>175</v>
      </c>
    </row>
    <row r="138" spans="1:13" x14ac:dyDescent="0.25">
      <c r="A138" s="4">
        <v>1020</v>
      </c>
      <c r="B138" s="3" t="s">
        <v>391</v>
      </c>
      <c r="C138" s="4">
        <v>31</v>
      </c>
      <c r="D138" s="3" t="s">
        <v>68</v>
      </c>
      <c r="E138" s="5">
        <v>45929</v>
      </c>
      <c r="F138" s="5">
        <v>45600</v>
      </c>
      <c r="G138" s="3" t="s">
        <v>392</v>
      </c>
      <c r="H138" s="3" t="s">
        <v>24</v>
      </c>
      <c r="I138" s="2">
        <v>1.54</v>
      </c>
      <c r="J138" s="3" t="s">
        <v>35</v>
      </c>
      <c r="K138">
        <f t="shared" si="4"/>
        <v>2025</v>
      </c>
      <c r="L138" t="str">
        <f t="shared" si="5"/>
        <v>31-40</v>
      </c>
      <c r="M138">
        <f>Table2[[#This Row],[appointment_date]]-Table2[[#This Row],[booking_date]]</f>
        <v>329</v>
      </c>
    </row>
    <row r="139" spans="1:13" x14ac:dyDescent="0.25">
      <c r="A139" s="4">
        <v>1089</v>
      </c>
      <c r="B139" s="3" t="s">
        <v>394</v>
      </c>
      <c r="C139" s="4">
        <v>73</v>
      </c>
      <c r="D139" s="3" t="s">
        <v>37</v>
      </c>
      <c r="E139" s="5">
        <v>45778</v>
      </c>
      <c r="F139" s="5">
        <v>45498</v>
      </c>
      <c r="G139" s="3" t="s">
        <v>395</v>
      </c>
      <c r="H139" s="3" t="s">
        <v>13</v>
      </c>
      <c r="I139" s="2">
        <v>466.08</v>
      </c>
      <c r="J139" s="3" t="s">
        <v>30</v>
      </c>
      <c r="K139">
        <f t="shared" si="4"/>
        <v>2025</v>
      </c>
      <c r="L139" t="str">
        <f t="shared" si="5"/>
        <v>71-80</v>
      </c>
      <c r="M139">
        <f>Table2[[#This Row],[appointment_date]]-Table2[[#This Row],[booking_date]]</f>
        <v>280</v>
      </c>
    </row>
    <row r="140" spans="1:13" x14ac:dyDescent="0.25">
      <c r="A140" s="4">
        <v>1005</v>
      </c>
      <c r="B140" s="3" t="s">
        <v>396</v>
      </c>
      <c r="C140" s="4">
        <v>63</v>
      </c>
      <c r="D140" s="3" t="s">
        <v>68</v>
      </c>
      <c r="E140" s="5">
        <v>45921</v>
      </c>
      <c r="F140" s="5">
        <v>45601</v>
      </c>
      <c r="G140" s="3" t="s">
        <v>397</v>
      </c>
      <c r="H140" s="3" t="s">
        <v>13</v>
      </c>
      <c r="I140" s="2">
        <v>3.87</v>
      </c>
      <c r="J140" s="3" t="s">
        <v>35</v>
      </c>
      <c r="K140">
        <f t="shared" si="4"/>
        <v>2025</v>
      </c>
      <c r="L140" t="str">
        <f t="shared" si="5"/>
        <v>61-70</v>
      </c>
      <c r="M140">
        <f>Table2[[#This Row],[appointment_date]]-Table2[[#This Row],[booking_date]]</f>
        <v>320</v>
      </c>
    </row>
    <row r="141" spans="1:13" x14ac:dyDescent="0.25">
      <c r="A141" s="4">
        <v>1031</v>
      </c>
      <c r="B141" s="3" t="s">
        <v>399</v>
      </c>
      <c r="C141" s="4">
        <v>49</v>
      </c>
      <c r="D141" s="3" t="s">
        <v>37</v>
      </c>
      <c r="E141" s="5">
        <v>46024</v>
      </c>
      <c r="F141" s="5">
        <v>45990</v>
      </c>
      <c r="G141" s="3" t="s">
        <v>400</v>
      </c>
      <c r="H141" s="3" t="s">
        <v>24</v>
      </c>
      <c r="I141" s="2">
        <v>461.19</v>
      </c>
      <c r="J141" s="3" t="s">
        <v>30</v>
      </c>
      <c r="K141">
        <f t="shared" si="4"/>
        <v>2026</v>
      </c>
      <c r="L141" t="str">
        <f t="shared" si="5"/>
        <v>41-50</v>
      </c>
      <c r="M141">
        <f>Table2[[#This Row],[appointment_date]]-Table2[[#This Row],[booking_date]]</f>
        <v>34</v>
      </c>
    </row>
    <row r="142" spans="1:13" x14ac:dyDescent="0.25">
      <c r="A142" s="4">
        <v>1069</v>
      </c>
      <c r="B142" s="3" t="s">
        <v>401</v>
      </c>
      <c r="C142" s="4">
        <v>60</v>
      </c>
      <c r="D142" s="3" t="s">
        <v>68</v>
      </c>
      <c r="E142" s="5">
        <v>45903</v>
      </c>
      <c r="F142" s="5">
        <v>45870</v>
      </c>
      <c r="G142" s="3" t="s">
        <v>402</v>
      </c>
      <c r="H142" s="3" t="s">
        <v>28</v>
      </c>
      <c r="I142" s="2" t="s">
        <v>2693</v>
      </c>
      <c r="J142" s="3" t="s">
        <v>30</v>
      </c>
      <c r="K142">
        <f t="shared" si="4"/>
        <v>2025</v>
      </c>
      <c r="L142" t="str">
        <f t="shared" si="5"/>
        <v>51-60</v>
      </c>
      <c r="M142">
        <f>Table2[[#This Row],[appointment_date]]-Table2[[#This Row],[booking_date]]</f>
        <v>33</v>
      </c>
    </row>
    <row r="143" spans="1:13" x14ac:dyDescent="0.25">
      <c r="A143" s="4">
        <v>1093</v>
      </c>
      <c r="B143" s="3" t="s">
        <v>403</v>
      </c>
      <c r="C143" s="4">
        <v>77</v>
      </c>
      <c r="D143" s="3" t="s">
        <v>37</v>
      </c>
      <c r="E143" s="5">
        <v>46042</v>
      </c>
      <c r="F143" s="5">
        <v>45386</v>
      </c>
      <c r="G143" s="3" t="s">
        <v>404</v>
      </c>
      <c r="H143" s="3" t="s">
        <v>24</v>
      </c>
      <c r="I143" s="2">
        <v>335.45</v>
      </c>
      <c r="J143" s="3" t="s">
        <v>35</v>
      </c>
      <c r="K143">
        <f t="shared" si="4"/>
        <v>2026</v>
      </c>
      <c r="L143" t="str">
        <f t="shared" si="5"/>
        <v>71-80</v>
      </c>
      <c r="M143">
        <f>Table2[[#This Row],[appointment_date]]-Table2[[#This Row],[booking_date]]</f>
        <v>656</v>
      </c>
    </row>
    <row r="144" spans="1:13" x14ac:dyDescent="0.25">
      <c r="A144" s="4">
        <v>1073</v>
      </c>
      <c r="B144" s="3" t="s">
        <v>406</v>
      </c>
      <c r="C144" s="4">
        <v>29</v>
      </c>
      <c r="D144" s="3" t="s">
        <v>68</v>
      </c>
      <c r="E144" s="5">
        <v>45865</v>
      </c>
      <c r="F144" s="5">
        <v>45816</v>
      </c>
      <c r="G144" s="3" t="s">
        <v>407</v>
      </c>
      <c r="H144" s="3" t="s">
        <v>28</v>
      </c>
      <c r="I144" s="2">
        <v>274.95999999999998</v>
      </c>
      <c r="J144" s="3" t="s">
        <v>35</v>
      </c>
      <c r="K144">
        <f t="shared" si="4"/>
        <v>2025</v>
      </c>
      <c r="L144" t="str">
        <f t="shared" si="5"/>
        <v>18-30</v>
      </c>
      <c r="M144">
        <f>Table2[[#This Row],[appointment_date]]-Table2[[#This Row],[booking_date]]</f>
        <v>49</v>
      </c>
    </row>
    <row r="145" spans="1:13" x14ac:dyDescent="0.25">
      <c r="A145" s="4">
        <v>1040</v>
      </c>
      <c r="B145" s="3" t="s">
        <v>409</v>
      </c>
      <c r="C145" s="4">
        <v>52</v>
      </c>
      <c r="D145" s="3" t="s">
        <v>68</v>
      </c>
      <c r="E145" s="5">
        <v>45795</v>
      </c>
      <c r="F145" s="5">
        <v>45703</v>
      </c>
      <c r="G145" s="3" t="s">
        <v>410</v>
      </c>
      <c r="H145" s="3" t="s">
        <v>13</v>
      </c>
      <c r="I145" s="2">
        <v>130.69999999999999</v>
      </c>
      <c r="J145" s="3" t="s">
        <v>30</v>
      </c>
      <c r="K145">
        <f t="shared" si="4"/>
        <v>2025</v>
      </c>
      <c r="L145" t="str">
        <f t="shared" si="5"/>
        <v>51-60</v>
      </c>
      <c r="M145">
        <f>Table2[[#This Row],[appointment_date]]-Table2[[#This Row],[booking_date]]</f>
        <v>92</v>
      </c>
    </row>
    <row r="146" spans="1:13" x14ac:dyDescent="0.25">
      <c r="A146" s="4">
        <v>1066</v>
      </c>
      <c r="B146" s="3" t="s">
        <v>411</v>
      </c>
      <c r="C146" s="4">
        <v>54</v>
      </c>
      <c r="D146" s="3" t="s">
        <v>68</v>
      </c>
      <c r="E146" s="5">
        <v>45881</v>
      </c>
      <c r="F146" s="5">
        <v>45863</v>
      </c>
      <c r="G146" s="3" t="s">
        <v>412</v>
      </c>
      <c r="H146" s="3" t="s">
        <v>28</v>
      </c>
      <c r="I146" s="2">
        <v>141.41999999999999</v>
      </c>
      <c r="J146" s="3" t="s">
        <v>35</v>
      </c>
      <c r="K146">
        <f t="shared" si="4"/>
        <v>2025</v>
      </c>
      <c r="L146" t="str">
        <f t="shared" si="5"/>
        <v>51-60</v>
      </c>
      <c r="M146">
        <f>Table2[[#This Row],[appointment_date]]-Table2[[#This Row],[booking_date]]</f>
        <v>18</v>
      </c>
    </row>
    <row r="147" spans="1:13" x14ac:dyDescent="0.25">
      <c r="A147" s="4">
        <v>1047</v>
      </c>
      <c r="B147" s="3" t="s">
        <v>414</v>
      </c>
      <c r="C147" s="4">
        <v>67</v>
      </c>
      <c r="D147" s="3" t="s">
        <v>37</v>
      </c>
      <c r="E147" s="5">
        <v>46063</v>
      </c>
      <c r="F147" s="5">
        <v>45464</v>
      </c>
      <c r="G147" s="3" t="s">
        <v>415</v>
      </c>
      <c r="H147" s="3" t="s">
        <v>18</v>
      </c>
      <c r="I147" s="2" t="s">
        <v>2693</v>
      </c>
      <c r="J147" s="3" t="s">
        <v>30</v>
      </c>
      <c r="K147">
        <f t="shared" si="4"/>
        <v>2026</v>
      </c>
      <c r="L147" t="str">
        <f t="shared" si="5"/>
        <v>61-70</v>
      </c>
      <c r="M147">
        <f>Table2[[#This Row],[appointment_date]]-Table2[[#This Row],[booking_date]]</f>
        <v>599</v>
      </c>
    </row>
    <row r="148" spans="1:13" x14ac:dyDescent="0.25">
      <c r="A148" s="4">
        <v>1021</v>
      </c>
      <c r="B148" s="3" t="s">
        <v>416</v>
      </c>
      <c r="C148" s="4">
        <v>38</v>
      </c>
      <c r="D148" s="3" t="s">
        <v>37</v>
      </c>
      <c r="E148" s="5">
        <v>45962</v>
      </c>
      <c r="F148" s="5">
        <v>45437</v>
      </c>
      <c r="G148" s="3" t="s">
        <v>417</v>
      </c>
      <c r="H148" s="3" t="s">
        <v>24</v>
      </c>
      <c r="I148" s="2">
        <v>122.56</v>
      </c>
      <c r="J148" s="3" t="s">
        <v>35</v>
      </c>
      <c r="K148">
        <f t="shared" si="4"/>
        <v>2025</v>
      </c>
      <c r="L148" t="str">
        <f t="shared" si="5"/>
        <v>31-40</v>
      </c>
      <c r="M148">
        <f>Table2[[#This Row],[appointment_date]]-Table2[[#This Row],[booking_date]]</f>
        <v>525</v>
      </c>
    </row>
    <row r="149" spans="1:13" x14ac:dyDescent="0.25">
      <c r="A149" s="4">
        <v>1072</v>
      </c>
      <c r="B149" s="3" t="s">
        <v>418</v>
      </c>
      <c r="C149" s="4">
        <v>37</v>
      </c>
      <c r="D149" s="3" t="s">
        <v>68</v>
      </c>
      <c r="E149" s="5">
        <v>45883</v>
      </c>
      <c r="F149" s="5">
        <v>45880</v>
      </c>
      <c r="G149" s="3" t="s">
        <v>419</v>
      </c>
      <c r="H149" s="3" t="s">
        <v>13</v>
      </c>
      <c r="I149" s="2">
        <v>317.62</v>
      </c>
      <c r="J149" s="3" t="s">
        <v>30</v>
      </c>
      <c r="K149">
        <f t="shared" si="4"/>
        <v>2025</v>
      </c>
      <c r="L149" t="str">
        <f t="shared" si="5"/>
        <v>31-40</v>
      </c>
      <c r="M149">
        <f>Table2[[#This Row],[appointment_date]]-Table2[[#This Row],[booking_date]]</f>
        <v>3</v>
      </c>
    </row>
    <row r="150" spans="1:13" x14ac:dyDescent="0.25">
      <c r="A150" s="4">
        <v>1011</v>
      </c>
      <c r="B150" s="3" t="s">
        <v>421</v>
      </c>
      <c r="C150" s="4">
        <v>66</v>
      </c>
      <c r="D150" s="3" t="s">
        <v>68</v>
      </c>
      <c r="E150" s="5">
        <v>45776</v>
      </c>
      <c r="F150" s="5">
        <v>45754</v>
      </c>
      <c r="G150" s="3" t="s">
        <v>422</v>
      </c>
      <c r="H150" s="3" t="s">
        <v>28</v>
      </c>
      <c r="I150" s="2">
        <v>4.55</v>
      </c>
      <c r="J150" s="3" t="s">
        <v>35</v>
      </c>
      <c r="K150">
        <f t="shared" si="4"/>
        <v>2025</v>
      </c>
      <c r="L150" t="str">
        <f t="shared" si="5"/>
        <v>61-70</v>
      </c>
      <c r="M150">
        <f>Table2[[#This Row],[appointment_date]]-Table2[[#This Row],[booking_date]]</f>
        <v>22</v>
      </c>
    </row>
    <row r="151" spans="1:13" x14ac:dyDescent="0.25">
      <c r="A151" s="4">
        <v>1097</v>
      </c>
      <c r="B151" s="3" t="s">
        <v>424</v>
      </c>
      <c r="C151" s="4">
        <v>48</v>
      </c>
      <c r="D151" s="3" t="s">
        <v>37</v>
      </c>
      <c r="E151" s="5">
        <v>45914</v>
      </c>
      <c r="F151" s="5">
        <v>45624</v>
      </c>
      <c r="G151" s="3" t="s">
        <v>425</v>
      </c>
      <c r="H151" s="3" t="s">
        <v>13</v>
      </c>
      <c r="I151" s="2">
        <v>102.89</v>
      </c>
      <c r="J151" s="3" t="s">
        <v>30</v>
      </c>
      <c r="K151">
        <f t="shared" si="4"/>
        <v>2025</v>
      </c>
      <c r="L151" t="str">
        <f t="shared" si="5"/>
        <v>41-50</v>
      </c>
      <c r="M151">
        <f>Table2[[#This Row],[appointment_date]]-Table2[[#This Row],[booking_date]]</f>
        <v>290</v>
      </c>
    </row>
    <row r="152" spans="1:13" x14ac:dyDescent="0.25">
      <c r="A152" s="4">
        <v>1028</v>
      </c>
      <c r="B152" s="3" t="s">
        <v>427</v>
      </c>
      <c r="C152" s="4">
        <v>56</v>
      </c>
      <c r="D152" s="3" t="s">
        <v>68</v>
      </c>
      <c r="E152" s="5">
        <v>45960</v>
      </c>
      <c r="F152" s="5">
        <v>45430</v>
      </c>
      <c r="G152" s="3" t="s">
        <v>428</v>
      </c>
      <c r="H152" s="3" t="s">
        <v>18</v>
      </c>
      <c r="I152" s="2">
        <v>543.76</v>
      </c>
      <c r="J152" s="3" t="s">
        <v>30</v>
      </c>
      <c r="K152">
        <f t="shared" si="4"/>
        <v>2025</v>
      </c>
      <c r="L152" t="str">
        <f t="shared" si="5"/>
        <v>51-60</v>
      </c>
      <c r="M152">
        <f>Table2[[#This Row],[appointment_date]]-Table2[[#This Row],[booking_date]]</f>
        <v>530</v>
      </c>
    </row>
    <row r="153" spans="1:13" x14ac:dyDescent="0.25">
      <c r="A153" s="4">
        <v>1057</v>
      </c>
      <c r="B153" s="3" t="s">
        <v>430</v>
      </c>
      <c r="C153" s="4">
        <v>32</v>
      </c>
      <c r="D153" s="3" t="s">
        <v>68</v>
      </c>
      <c r="E153" s="5">
        <v>45746</v>
      </c>
      <c r="F153" s="5">
        <v>45415</v>
      </c>
      <c r="G153" s="3" t="s">
        <v>431</v>
      </c>
      <c r="H153" s="3" t="s">
        <v>28</v>
      </c>
      <c r="I153" s="2">
        <v>279.05</v>
      </c>
      <c r="J153" s="3" t="s">
        <v>35</v>
      </c>
      <c r="K153">
        <f t="shared" si="4"/>
        <v>2025</v>
      </c>
      <c r="L153" t="str">
        <f t="shared" si="5"/>
        <v>31-40</v>
      </c>
      <c r="M153">
        <f>Table2[[#This Row],[appointment_date]]-Table2[[#This Row],[booking_date]]</f>
        <v>331</v>
      </c>
    </row>
    <row r="154" spans="1:13" x14ac:dyDescent="0.25">
      <c r="A154" s="4">
        <v>1002</v>
      </c>
      <c r="B154" s="3" t="s">
        <v>433</v>
      </c>
      <c r="C154" s="4">
        <v>87</v>
      </c>
      <c r="D154" s="3" t="s">
        <v>68</v>
      </c>
      <c r="E154" s="5">
        <v>45755</v>
      </c>
      <c r="F154" s="5">
        <v>45630</v>
      </c>
      <c r="G154" s="3" t="s">
        <v>434</v>
      </c>
      <c r="H154" s="3" t="s">
        <v>13</v>
      </c>
      <c r="I154" s="2">
        <v>401.55</v>
      </c>
      <c r="J154" s="3" t="s">
        <v>35</v>
      </c>
      <c r="K154">
        <f t="shared" si="4"/>
        <v>2025</v>
      </c>
      <c r="L154" t="str">
        <f t="shared" si="5"/>
        <v>81-90</v>
      </c>
      <c r="M154">
        <f>Table2[[#This Row],[appointment_date]]-Table2[[#This Row],[booking_date]]</f>
        <v>125</v>
      </c>
    </row>
    <row r="155" spans="1:13" x14ac:dyDescent="0.25">
      <c r="A155" s="4">
        <v>1065</v>
      </c>
      <c r="B155" s="3" t="s">
        <v>435</v>
      </c>
      <c r="C155" s="4">
        <v>18</v>
      </c>
      <c r="D155" s="3" t="s">
        <v>37</v>
      </c>
      <c r="E155" s="5">
        <v>45955</v>
      </c>
      <c r="F155" s="5">
        <v>45538</v>
      </c>
      <c r="G155" s="3" t="s">
        <v>436</v>
      </c>
      <c r="H155" s="3" t="s">
        <v>24</v>
      </c>
      <c r="I155" s="2">
        <v>3.12</v>
      </c>
      <c r="J155" s="3" t="s">
        <v>30</v>
      </c>
      <c r="K155">
        <f t="shared" si="4"/>
        <v>2025</v>
      </c>
      <c r="L155" t="str">
        <f t="shared" si="5"/>
        <v>18-30</v>
      </c>
      <c r="M155">
        <f>Table2[[#This Row],[appointment_date]]-Table2[[#This Row],[booking_date]]</f>
        <v>417</v>
      </c>
    </row>
    <row r="156" spans="1:13" x14ac:dyDescent="0.25">
      <c r="A156" s="4">
        <v>1026</v>
      </c>
      <c r="B156" s="3" t="s">
        <v>438</v>
      </c>
      <c r="C156" s="4">
        <v>87</v>
      </c>
      <c r="D156" s="3" t="s">
        <v>68</v>
      </c>
      <c r="E156" s="5">
        <v>46056</v>
      </c>
      <c r="F156" s="5">
        <v>45850</v>
      </c>
      <c r="G156" s="3" t="s">
        <v>439</v>
      </c>
      <c r="H156" s="3" t="s">
        <v>24</v>
      </c>
      <c r="I156" s="2">
        <v>194.45</v>
      </c>
      <c r="J156" s="3" t="s">
        <v>35</v>
      </c>
      <c r="K156">
        <f t="shared" si="4"/>
        <v>2026</v>
      </c>
      <c r="L156" t="str">
        <f t="shared" si="5"/>
        <v>81-90</v>
      </c>
      <c r="M156">
        <f>Table2[[#This Row],[appointment_date]]-Table2[[#This Row],[booking_date]]</f>
        <v>206</v>
      </c>
    </row>
    <row r="157" spans="1:13" x14ac:dyDescent="0.25">
      <c r="A157" s="4">
        <v>1100</v>
      </c>
      <c r="B157" s="3" t="s">
        <v>441</v>
      </c>
      <c r="C157" s="4">
        <v>62</v>
      </c>
      <c r="D157" s="3" t="s">
        <v>37</v>
      </c>
      <c r="E157" s="5">
        <v>45750</v>
      </c>
      <c r="F157" s="5">
        <v>45734</v>
      </c>
      <c r="G157" s="3" t="s">
        <v>442</v>
      </c>
      <c r="H157" s="3" t="s">
        <v>18</v>
      </c>
      <c r="I157" s="2">
        <v>236.52</v>
      </c>
      <c r="J157" s="3" t="s">
        <v>35</v>
      </c>
      <c r="K157">
        <f t="shared" si="4"/>
        <v>2025</v>
      </c>
      <c r="L157" t="str">
        <f t="shared" si="5"/>
        <v>61-70</v>
      </c>
      <c r="M157">
        <f>Table2[[#This Row],[appointment_date]]-Table2[[#This Row],[booking_date]]</f>
        <v>16</v>
      </c>
    </row>
    <row r="158" spans="1:13" x14ac:dyDescent="0.25">
      <c r="A158" s="4">
        <v>1066</v>
      </c>
      <c r="B158" s="3" t="s">
        <v>444</v>
      </c>
      <c r="C158" s="4">
        <v>86</v>
      </c>
      <c r="D158" s="3" t="s">
        <v>37</v>
      </c>
      <c r="E158" s="5">
        <v>46071</v>
      </c>
      <c r="F158" s="5">
        <v>45577</v>
      </c>
      <c r="G158" s="3" t="s">
        <v>445</v>
      </c>
      <c r="H158" s="3" t="s">
        <v>13</v>
      </c>
      <c r="I158" s="2">
        <v>634.4</v>
      </c>
      <c r="J158" s="3" t="s">
        <v>35</v>
      </c>
      <c r="K158">
        <f t="shared" si="4"/>
        <v>2026</v>
      </c>
      <c r="L158" t="str">
        <f t="shared" si="5"/>
        <v>81-90</v>
      </c>
      <c r="M158">
        <f>Table2[[#This Row],[appointment_date]]-Table2[[#This Row],[booking_date]]</f>
        <v>494</v>
      </c>
    </row>
    <row r="159" spans="1:13" x14ac:dyDescent="0.25">
      <c r="A159" s="4">
        <v>1025</v>
      </c>
      <c r="B159" s="3" t="s">
        <v>447</v>
      </c>
      <c r="C159" s="4">
        <v>25</v>
      </c>
      <c r="D159" s="3" t="s">
        <v>68</v>
      </c>
      <c r="E159" s="5">
        <v>45938</v>
      </c>
      <c r="F159" s="5">
        <v>45740</v>
      </c>
      <c r="G159" s="3" t="s">
        <v>448</v>
      </c>
      <c r="H159" s="3" t="s">
        <v>18</v>
      </c>
      <c r="I159" s="2">
        <v>248.33</v>
      </c>
      <c r="J159" s="3" t="s">
        <v>30</v>
      </c>
      <c r="K159">
        <f t="shared" si="4"/>
        <v>2025</v>
      </c>
      <c r="L159" t="str">
        <f t="shared" si="5"/>
        <v>18-30</v>
      </c>
      <c r="M159">
        <f>Table2[[#This Row],[appointment_date]]-Table2[[#This Row],[booking_date]]</f>
        <v>198</v>
      </c>
    </row>
    <row r="160" spans="1:13" x14ac:dyDescent="0.25">
      <c r="A160" s="4">
        <v>1038</v>
      </c>
      <c r="B160" s="3" t="s">
        <v>449</v>
      </c>
      <c r="C160" s="4">
        <v>46</v>
      </c>
      <c r="D160" s="3" t="s">
        <v>37</v>
      </c>
      <c r="E160" s="5">
        <v>45904</v>
      </c>
      <c r="F160" s="5">
        <v>45785</v>
      </c>
      <c r="G160" s="3" t="s">
        <v>450</v>
      </c>
      <c r="H160" s="3" t="s">
        <v>18</v>
      </c>
      <c r="I160" s="2">
        <v>256.25</v>
      </c>
      <c r="J160" s="3" t="s">
        <v>35</v>
      </c>
      <c r="K160">
        <f t="shared" si="4"/>
        <v>2025</v>
      </c>
      <c r="L160" t="str">
        <f t="shared" si="5"/>
        <v>41-50</v>
      </c>
      <c r="M160">
        <f>Table2[[#This Row],[appointment_date]]-Table2[[#This Row],[booking_date]]</f>
        <v>119</v>
      </c>
    </row>
    <row r="161" spans="1:13" x14ac:dyDescent="0.25">
      <c r="A161" s="4">
        <v>1038</v>
      </c>
      <c r="B161" s="3" t="s">
        <v>452</v>
      </c>
      <c r="C161" s="4">
        <v>39</v>
      </c>
      <c r="D161" s="3" t="s">
        <v>68</v>
      </c>
      <c r="E161" s="5">
        <v>45953</v>
      </c>
      <c r="F161" s="5">
        <v>45856</v>
      </c>
      <c r="G161" s="3" t="s">
        <v>453</v>
      </c>
      <c r="H161" s="3" t="s">
        <v>18</v>
      </c>
      <c r="I161" s="2" t="s">
        <v>2693</v>
      </c>
      <c r="J161" s="3" t="s">
        <v>30</v>
      </c>
      <c r="K161">
        <f t="shared" si="4"/>
        <v>2025</v>
      </c>
      <c r="L161" t="str">
        <f t="shared" si="5"/>
        <v>31-40</v>
      </c>
      <c r="M161">
        <f>Table2[[#This Row],[appointment_date]]-Table2[[#This Row],[booking_date]]</f>
        <v>97</v>
      </c>
    </row>
    <row r="162" spans="1:13" x14ac:dyDescent="0.25">
      <c r="A162" s="4">
        <v>1000</v>
      </c>
      <c r="B162" s="3" t="s">
        <v>454</v>
      </c>
      <c r="C162" s="4">
        <v>81</v>
      </c>
      <c r="D162" s="3" t="s">
        <v>37</v>
      </c>
      <c r="E162" s="5">
        <v>45956</v>
      </c>
      <c r="F162" s="5">
        <v>45707</v>
      </c>
      <c r="G162" s="3" t="s">
        <v>455</v>
      </c>
      <c r="H162" s="3" t="s">
        <v>28</v>
      </c>
      <c r="I162" s="2">
        <v>65.06</v>
      </c>
      <c r="J162" s="3" t="s">
        <v>35</v>
      </c>
      <c r="K162">
        <f t="shared" si="4"/>
        <v>2025</v>
      </c>
      <c r="L162" t="str">
        <f t="shared" si="5"/>
        <v>81-90</v>
      </c>
      <c r="M162">
        <f>Table2[[#This Row],[appointment_date]]-Table2[[#This Row],[booking_date]]</f>
        <v>249</v>
      </c>
    </row>
    <row r="163" spans="1:13" x14ac:dyDescent="0.25">
      <c r="A163" s="4">
        <v>1008</v>
      </c>
      <c r="B163" s="3" t="s">
        <v>456</v>
      </c>
      <c r="C163" s="4">
        <v>69</v>
      </c>
      <c r="D163" s="3" t="s">
        <v>37</v>
      </c>
      <c r="E163" s="5">
        <v>45785</v>
      </c>
      <c r="F163" s="5">
        <v>45681</v>
      </c>
      <c r="G163" s="3" t="s">
        <v>457</v>
      </c>
      <c r="H163" s="3" t="s">
        <v>24</v>
      </c>
      <c r="I163" s="2">
        <v>155.80000000000001</v>
      </c>
      <c r="J163" s="3" t="s">
        <v>35</v>
      </c>
      <c r="K163">
        <f t="shared" si="4"/>
        <v>2025</v>
      </c>
      <c r="L163" t="str">
        <f t="shared" si="5"/>
        <v>61-70</v>
      </c>
      <c r="M163">
        <f>Table2[[#This Row],[appointment_date]]-Table2[[#This Row],[booking_date]]</f>
        <v>104</v>
      </c>
    </row>
    <row r="164" spans="1:13" x14ac:dyDescent="0.25">
      <c r="A164" s="4">
        <v>1078</v>
      </c>
      <c r="B164" s="3" t="s">
        <v>459</v>
      </c>
      <c r="C164" s="4">
        <v>54</v>
      </c>
      <c r="D164" s="3" t="s">
        <v>37</v>
      </c>
      <c r="E164" s="5">
        <v>45867</v>
      </c>
      <c r="F164" s="5">
        <v>45449</v>
      </c>
      <c r="G164" s="3" t="s">
        <v>460</v>
      </c>
      <c r="H164" s="3" t="s">
        <v>24</v>
      </c>
      <c r="I164" s="2">
        <v>4.7699999999999996</v>
      </c>
      <c r="J164" s="3" t="s">
        <v>30</v>
      </c>
      <c r="K164">
        <f t="shared" si="4"/>
        <v>2025</v>
      </c>
      <c r="L164" t="str">
        <f t="shared" si="5"/>
        <v>51-60</v>
      </c>
      <c r="M164">
        <f>Table2[[#This Row],[appointment_date]]-Table2[[#This Row],[booking_date]]</f>
        <v>418</v>
      </c>
    </row>
    <row r="165" spans="1:13" x14ac:dyDescent="0.25">
      <c r="A165" s="4">
        <v>1038</v>
      </c>
      <c r="B165" s="3" t="s">
        <v>462</v>
      </c>
      <c r="C165" s="4">
        <v>79</v>
      </c>
      <c r="D165" s="3" t="s">
        <v>37</v>
      </c>
      <c r="E165" s="5">
        <v>45790</v>
      </c>
      <c r="F165" s="5">
        <v>45537</v>
      </c>
      <c r="G165" s="3" t="s">
        <v>463</v>
      </c>
      <c r="H165" s="3" t="s">
        <v>18</v>
      </c>
      <c r="I165" s="2">
        <v>82.84</v>
      </c>
      <c r="J165" s="3" t="s">
        <v>30</v>
      </c>
      <c r="K165">
        <f t="shared" si="4"/>
        <v>2025</v>
      </c>
      <c r="L165" t="str">
        <f t="shared" si="5"/>
        <v>71-80</v>
      </c>
      <c r="M165">
        <f>Table2[[#This Row],[appointment_date]]-Table2[[#This Row],[booking_date]]</f>
        <v>253</v>
      </c>
    </row>
    <row r="166" spans="1:13" x14ac:dyDescent="0.25">
      <c r="A166" s="4">
        <v>1082</v>
      </c>
      <c r="B166" s="3" t="s">
        <v>464</v>
      </c>
      <c r="C166" s="4">
        <v>87</v>
      </c>
      <c r="D166" s="3"/>
      <c r="E166" s="5">
        <v>45742</v>
      </c>
      <c r="F166" s="5">
        <v>45377</v>
      </c>
      <c r="G166" s="3" t="s">
        <v>465</v>
      </c>
      <c r="H166" s="3" t="s">
        <v>18</v>
      </c>
      <c r="I166" s="2">
        <v>2.38</v>
      </c>
      <c r="J166" s="3" t="s">
        <v>35</v>
      </c>
      <c r="K166">
        <f t="shared" si="4"/>
        <v>2025</v>
      </c>
      <c r="L166" t="str">
        <f t="shared" si="5"/>
        <v>81-90</v>
      </c>
      <c r="M166">
        <f>Table2[[#This Row],[appointment_date]]-Table2[[#This Row],[booking_date]]</f>
        <v>365</v>
      </c>
    </row>
    <row r="167" spans="1:13" x14ac:dyDescent="0.25">
      <c r="A167" s="4">
        <v>1028</v>
      </c>
      <c r="B167" s="3" t="s">
        <v>467</v>
      </c>
      <c r="C167" s="4">
        <v>24</v>
      </c>
      <c r="D167" s="3" t="s">
        <v>68</v>
      </c>
      <c r="E167" s="5">
        <v>46010</v>
      </c>
      <c r="F167" s="5">
        <v>45839</v>
      </c>
      <c r="G167" s="3" t="s">
        <v>468</v>
      </c>
      <c r="H167" s="3" t="s">
        <v>28</v>
      </c>
      <c r="I167" s="2">
        <v>552.14</v>
      </c>
      <c r="J167" s="3" t="s">
        <v>35</v>
      </c>
      <c r="K167">
        <f t="shared" si="4"/>
        <v>2025</v>
      </c>
      <c r="L167" t="str">
        <f t="shared" si="5"/>
        <v>18-30</v>
      </c>
      <c r="M167">
        <f>Table2[[#This Row],[appointment_date]]-Table2[[#This Row],[booking_date]]</f>
        <v>171</v>
      </c>
    </row>
    <row r="168" spans="1:13" x14ac:dyDescent="0.25">
      <c r="A168" s="4">
        <v>1048</v>
      </c>
      <c r="B168" s="3" t="s">
        <v>470</v>
      </c>
      <c r="C168" s="4">
        <v>77</v>
      </c>
      <c r="D168" s="3" t="s">
        <v>37</v>
      </c>
      <c r="E168" s="5">
        <v>45951</v>
      </c>
      <c r="F168" s="5">
        <v>45491</v>
      </c>
      <c r="G168" s="3" t="s">
        <v>471</v>
      </c>
      <c r="H168" s="3" t="s">
        <v>28</v>
      </c>
      <c r="I168" s="2">
        <v>3.09</v>
      </c>
      <c r="J168" s="3" t="s">
        <v>30</v>
      </c>
      <c r="K168">
        <f t="shared" si="4"/>
        <v>2025</v>
      </c>
      <c r="L168" t="str">
        <f t="shared" si="5"/>
        <v>71-80</v>
      </c>
      <c r="M168">
        <f>Table2[[#This Row],[appointment_date]]-Table2[[#This Row],[booking_date]]</f>
        <v>460</v>
      </c>
    </row>
    <row r="169" spans="1:13" x14ac:dyDescent="0.25">
      <c r="A169" s="4">
        <v>1035</v>
      </c>
      <c r="B169" s="3" t="s">
        <v>473</v>
      </c>
      <c r="C169" s="4">
        <v>60</v>
      </c>
      <c r="D169" s="3" t="s">
        <v>68</v>
      </c>
      <c r="E169" s="5">
        <v>45974</v>
      </c>
      <c r="F169" s="5">
        <v>45831</v>
      </c>
      <c r="G169" s="3" t="s">
        <v>474</v>
      </c>
      <c r="H169" s="3" t="s">
        <v>13</v>
      </c>
      <c r="I169" s="2">
        <v>99.19</v>
      </c>
      <c r="J169" s="3" t="s">
        <v>30</v>
      </c>
      <c r="K169">
        <f t="shared" si="4"/>
        <v>2025</v>
      </c>
      <c r="L169" t="str">
        <f t="shared" si="5"/>
        <v>51-60</v>
      </c>
      <c r="M169">
        <f>Table2[[#This Row],[appointment_date]]-Table2[[#This Row],[booking_date]]</f>
        <v>143</v>
      </c>
    </row>
    <row r="170" spans="1:13" x14ac:dyDescent="0.25">
      <c r="A170" s="4">
        <v>1010</v>
      </c>
      <c r="B170" s="3" t="s">
        <v>475</v>
      </c>
      <c r="C170" s="4">
        <v>57</v>
      </c>
      <c r="D170" s="3" t="s">
        <v>68</v>
      </c>
      <c r="E170" s="5">
        <v>45802</v>
      </c>
      <c r="F170" s="5">
        <v>45744</v>
      </c>
      <c r="G170" s="3" t="s">
        <v>476</v>
      </c>
      <c r="H170" s="3" t="s">
        <v>28</v>
      </c>
      <c r="I170" s="2">
        <v>225.83</v>
      </c>
      <c r="J170" s="3" t="s">
        <v>35</v>
      </c>
      <c r="K170">
        <f t="shared" si="4"/>
        <v>2025</v>
      </c>
      <c r="L170" t="str">
        <f t="shared" si="5"/>
        <v>51-60</v>
      </c>
      <c r="M170">
        <f>Table2[[#This Row],[appointment_date]]-Table2[[#This Row],[booking_date]]</f>
        <v>58</v>
      </c>
    </row>
    <row r="171" spans="1:13" x14ac:dyDescent="0.25">
      <c r="A171" s="4">
        <v>1043</v>
      </c>
      <c r="B171" s="3" t="s">
        <v>477</v>
      </c>
      <c r="C171" s="4">
        <v>69</v>
      </c>
      <c r="D171" s="3" t="s">
        <v>68</v>
      </c>
      <c r="E171" s="5">
        <v>45783</v>
      </c>
      <c r="F171" s="5">
        <v>45563</v>
      </c>
      <c r="G171" s="3" t="s">
        <v>478</v>
      </c>
      <c r="H171" s="3" t="s">
        <v>13</v>
      </c>
      <c r="I171" s="2">
        <v>458.12</v>
      </c>
      <c r="J171" s="3" t="s">
        <v>35</v>
      </c>
      <c r="K171">
        <f t="shared" si="4"/>
        <v>2025</v>
      </c>
      <c r="L171" t="str">
        <f t="shared" si="5"/>
        <v>61-70</v>
      </c>
      <c r="M171">
        <f>Table2[[#This Row],[appointment_date]]-Table2[[#This Row],[booking_date]]</f>
        <v>220</v>
      </c>
    </row>
    <row r="172" spans="1:13" x14ac:dyDescent="0.25">
      <c r="A172" s="4">
        <v>1083</v>
      </c>
      <c r="B172" s="3" t="s">
        <v>479</v>
      </c>
      <c r="C172" s="4">
        <v>58</v>
      </c>
      <c r="D172" s="3" t="s">
        <v>68</v>
      </c>
      <c r="E172" s="5">
        <v>46039</v>
      </c>
      <c r="F172" s="5">
        <v>45859</v>
      </c>
      <c r="G172" s="3" t="s">
        <v>480</v>
      </c>
      <c r="H172" s="3" t="s">
        <v>13</v>
      </c>
      <c r="I172" s="2">
        <v>274.14999999999998</v>
      </c>
      <c r="J172" s="3" t="s">
        <v>30</v>
      </c>
      <c r="K172">
        <f t="shared" si="4"/>
        <v>2026</v>
      </c>
      <c r="L172" t="str">
        <f t="shared" si="5"/>
        <v>51-60</v>
      </c>
      <c r="M172">
        <f>Table2[[#This Row],[appointment_date]]-Table2[[#This Row],[booking_date]]</f>
        <v>180</v>
      </c>
    </row>
    <row r="173" spans="1:13" x14ac:dyDescent="0.25">
      <c r="A173" s="4">
        <v>1026</v>
      </c>
      <c r="B173" s="3" t="s">
        <v>482</v>
      </c>
      <c r="C173" s="4">
        <v>86</v>
      </c>
      <c r="D173" s="3" t="s">
        <v>37</v>
      </c>
      <c r="E173" s="5">
        <v>46008</v>
      </c>
      <c r="F173" s="5">
        <v>45919</v>
      </c>
      <c r="G173" s="3" t="s">
        <v>483</v>
      </c>
      <c r="H173" s="3" t="s">
        <v>18</v>
      </c>
      <c r="I173" s="2">
        <v>370.01</v>
      </c>
      <c r="J173" s="3" t="s">
        <v>30</v>
      </c>
      <c r="K173">
        <f t="shared" si="4"/>
        <v>2025</v>
      </c>
      <c r="L173" t="str">
        <f t="shared" si="5"/>
        <v>81-90</v>
      </c>
      <c r="M173">
        <f>Table2[[#This Row],[appointment_date]]-Table2[[#This Row],[booking_date]]</f>
        <v>89</v>
      </c>
    </row>
    <row r="174" spans="1:13" x14ac:dyDescent="0.25">
      <c r="A174" s="4">
        <v>1046</v>
      </c>
      <c r="B174" s="3" t="s">
        <v>485</v>
      </c>
      <c r="C174" s="4">
        <v>50</v>
      </c>
      <c r="D174" s="3" t="s">
        <v>37</v>
      </c>
      <c r="E174" s="5">
        <v>45994</v>
      </c>
      <c r="F174" s="5">
        <v>45506</v>
      </c>
      <c r="G174" s="3" t="s">
        <v>486</v>
      </c>
      <c r="H174" s="3" t="s">
        <v>18</v>
      </c>
      <c r="I174" s="2">
        <v>130.53</v>
      </c>
      <c r="J174" s="3" t="s">
        <v>35</v>
      </c>
      <c r="K174">
        <f t="shared" si="4"/>
        <v>2025</v>
      </c>
      <c r="L174" t="str">
        <f t="shared" si="5"/>
        <v>41-50</v>
      </c>
      <c r="M174">
        <f>Table2[[#This Row],[appointment_date]]-Table2[[#This Row],[booking_date]]</f>
        <v>488</v>
      </c>
    </row>
    <row r="175" spans="1:13" x14ac:dyDescent="0.25">
      <c r="A175" s="4">
        <v>1084</v>
      </c>
      <c r="B175" s="3" t="s">
        <v>488</v>
      </c>
      <c r="C175" s="4">
        <v>52</v>
      </c>
      <c r="D175" s="3"/>
      <c r="E175" s="5">
        <v>46019</v>
      </c>
      <c r="F175" s="5">
        <v>45712</v>
      </c>
      <c r="G175" s="3" t="s">
        <v>489</v>
      </c>
      <c r="H175" s="3" t="s">
        <v>28</v>
      </c>
      <c r="I175" s="2">
        <v>618.04</v>
      </c>
      <c r="J175" s="3" t="s">
        <v>35</v>
      </c>
      <c r="K175">
        <f t="shared" si="4"/>
        <v>2025</v>
      </c>
      <c r="L175" t="str">
        <f t="shared" si="5"/>
        <v>51-60</v>
      </c>
      <c r="M175">
        <f>Table2[[#This Row],[appointment_date]]-Table2[[#This Row],[booking_date]]</f>
        <v>307</v>
      </c>
    </row>
    <row r="176" spans="1:13" x14ac:dyDescent="0.25">
      <c r="A176" s="4">
        <v>1006</v>
      </c>
      <c r="B176" s="3" t="s">
        <v>491</v>
      </c>
      <c r="C176" s="4">
        <v>54</v>
      </c>
      <c r="D176" s="3" t="s">
        <v>37</v>
      </c>
      <c r="E176" s="5">
        <v>46049</v>
      </c>
      <c r="F176" s="5">
        <v>45536</v>
      </c>
      <c r="G176" s="3" t="s">
        <v>492</v>
      </c>
      <c r="H176" s="3" t="s">
        <v>18</v>
      </c>
      <c r="I176" s="2">
        <v>121.89</v>
      </c>
      <c r="J176" s="3" t="s">
        <v>30</v>
      </c>
      <c r="K176">
        <f t="shared" si="4"/>
        <v>2026</v>
      </c>
      <c r="L176" t="str">
        <f t="shared" si="5"/>
        <v>51-60</v>
      </c>
      <c r="M176">
        <f>Table2[[#This Row],[appointment_date]]-Table2[[#This Row],[booking_date]]</f>
        <v>513</v>
      </c>
    </row>
    <row r="177" spans="1:13" x14ac:dyDescent="0.25">
      <c r="A177" s="4">
        <v>1015</v>
      </c>
      <c r="B177" s="3" t="s">
        <v>494</v>
      </c>
      <c r="C177" s="4">
        <v>43</v>
      </c>
      <c r="D177" s="3" t="s">
        <v>37</v>
      </c>
      <c r="E177" s="5">
        <v>45987</v>
      </c>
      <c r="F177" s="5">
        <v>45894</v>
      </c>
      <c r="G177" s="3" t="s">
        <v>495</v>
      </c>
      <c r="H177" s="3" t="s">
        <v>24</v>
      </c>
      <c r="I177" s="2">
        <v>4.68</v>
      </c>
      <c r="J177" s="3" t="s">
        <v>35</v>
      </c>
      <c r="K177">
        <f t="shared" si="4"/>
        <v>2025</v>
      </c>
      <c r="L177" t="str">
        <f t="shared" si="5"/>
        <v>41-50</v>
      </c>
      <c r="M177">
        <f>Table2[[#This Row],[appointment_date]]-Table2[[#This Row],[booking_date]]</f>
        <v>93</v>
      </c>
    </row>
    <row r="178" spans="1:13" x14ac:dyDescent="0.25">
      <c r="A178" s="4">
        <v>1091</v>
      </c>
      <c r="B178" s="3" t="s">
        <v>497</v>
      </c>
      <c r="C178" s="4">
        <v>80</v>
      </c>
      <c r="D178" s="3" t="s">
        <v>68</v>
      </c>
      <c r="E178" s="5">
        <v>45913</v>
      </c>
      <c r="F178" s="5">
        <v>45845</v>
      </c>
      <c r="G178" s="3" t="s">
        <v>498</v>
      </c>
      <c r="H178" s="3" t="s">
        <v>13</v>
      </c>
      <c r="I178" s="2" t="s">
        <v>2693</v>
      </c>
      <c r="J178" s="3" t="s">
        <v>35</v>
      </c>
      <c r="K178">
        <f t="shared" si="4"/>
        <v>2025</v>
      </c>
      <c r="L178" t="str">
        <f t="shared" si="5"/>
        <v>71-80</v>
      </c>
      <c r="M178">
        <f>Table2[[#This Row],[appointment_date]]-Table2[[#This Row],[booking_date]]</f>
        <v>68</v>
      </c>
    </row>
    <row r="179" spans="1:13" x14ac:dyDescent="0.25">
      <c r="A179" s="4">
        <v>1024</v>
      </c>
      <c r="B179" s="3" t="s">
        <v>499</v>
      </c>
      <c r="C179" s="4">
        <v>34</v>
      </c>
      <c r="D179" s="3" t="s">
        <v>68</v>
      </c>
      <c r="E179" s="5">
        <v>46064</v>
      </c>
      <c r="F179" s="5">
        <v>45650</v>
      </c>
      <c r="G179" s="3" t="s">
        <v>500</v>
      </c>
      <c r="H179" s="3" t="s">
        <v>18</v>
      </c>
      <c r="I179" s="2">
        <v>157.76</v>
      </c>
      <c r="J179" s="3" t="s">
        <v>35</v>
      </c>
      <c r="K179">
        <f t="shared" si="4"/>
        <v>2026</v>
      </c>
      <c r="L179" t="str">
        <f t="shared" si="5"/>
        <v>31-40</v>
      </c>
      <c r="M179">
        <f>Table2[[#This Row],[appointment_date]]-Table2[[#This Row],[booking_date]]</f>
        <v>414</v>
      </c>
    </row>
    <row r="180" spans="1:13" x14ac:dyDescent="0.25">
      <c r="A180" s="4">
        <v>1033</v>
      </c>
      <c r="B180" s="3" t="s">
        <v>502</v>
      </c>
      <c r="C180" s="4">
        <v>87</v>
      </c>
      <c r="D180" s="3" t="s">
        <v>37</v>
      </c>
      <c r="E180" s="5">
        <v>45753</v>
      </c>
      <c r="F180" s="5">
        <v>45506</v>
      </c>
      <c r="G180" s="3" t="s">
        <v>503</v>
      </c>
      <c r="H180" s="3" t="s">
        <v>18</v>
      </c>
      <c r="I180" s="2">
        <v>446.06</v>
      </c>
      <c r="J180" s="3" t="s">
        <v>30</v>
      </c>
      <c r="K180">
        <f t="shared" si="4"/>
        <v>2025</v>
      </c>
      <c r="L180" t="str">
        <f t="shared" si="5"/>
        <v>81-90</v>
      </c>
      <c r="M180">
        <f>Table2[[#This Row],[appointment_date]]-Table2[[#This Row],[booking_date]]</f>
        <v>247</v>
      </c>
    </row>
    <row r="181" spans="1:13" x14ac:dyDescent="0.25">
      <c r="A181" s="4">
        <v>1010</v>
      </c>
      <c r="B181" s="3" t="s">
        <v>504</v>
      </c>
      <c r="C181" s="4">
        <v>21</v>
      </c>
      <c r="D181" s="3" t="s">
        <v>37</v>
      </c>
      <c r="E181" s="5">
        <v>46065</v>
      </c>
      <c r="F181" s="5">
        <v>45695</v>
      </c>
      <c r="G181" s="3" t="s">
        <v>505</v>
      </c>
      <c r="H181" s="3" t="s">
        <v>24</v>
      </c>
      <c r="I181" s="2">
        <v>184.32</v>
      </c>
      <c r="J181" s="3" t="s">
        <v>35</v>
      </c>
      <c r="K181">
        <f t="shared" si="4"/>
        <v>2026</v>
      </c>
      <c r="L181" t="str">
        <f t="shared" si="5"/>
        <v>18-30</v>
      </c>
      <c r="M181">
        <f>Table2[[#This Row],[appointment_date]]-Table2[[#This Row],[booking_date]]</f>
        <v>370</v>
      </c>
    </row>
    <row r="182" spans="1:13" x14ac:dyDescent="0.25">
      <c r="A182" s="4">
        <v>1082</v>
      </c>
      <c r="B182" s="3" t="s">
        <v>507</v>
      </c>
      <c r="C182" s="4">
        <v>37</v>
      </c>
      <c r="D182" s="3" t="s">
        <v>68</v>
      </c>
      <c r="E182" s="5">
        <v>45978</v>
      </c>
      <c r="F182" s="5">
        <v>45664</v>
      </c>
      <c r="G182" s="3" t="s">
        <v>508</v>
      </c>
      <c r="H182" s="3" t="s">
        <v>18</v>
      </c>
      <c r="I182" s="2">
        <v>596.64</v>
      </c>
      <c r="J182" s="3" t="s">
        <v>30</v>
      </c>
      <c r="K182">
        <f t="shared" si="4"/>
        <v>2025</v>
      </c>
      <c r="L182" t="str">
        <f t="shared" si="5"/>
        <v>31-40</v>
      </c>
      <c r="M182">
        <f>Table2[[#This Row],[appointment_date]]-Table2[[#This Row],[booking_date]]</f>
        <v>314</v>
      </c>
    </row>
    <row r="183" spans="1:13" x14ac:dyDescent="0.25">
      <c r="A183" s="4">
        <v>1096</v>
      </c>
      <c r="B183" s="3" t="s">
        <v>510</v>
      </c>
      <c r="C183" s="4">
        <v>42</v>
      </c>
      <c r="D183" s="3" t="s">
        <v>68</v>
      </c>
      <c r="E183" s="5">
        <v>45881</v>
      </c>
      <c r="F183" s="5">
        <v>45543</v>
      </c>
      <c r="G183" s="3" t="s">
        <v>511</v>
      </c>
      <c r="H183" s="3" t="s">
        <v>24</v>
      </c>
      <c r="I183" s="2">
        <v>169.05</v>
      </c>
      <c r="J183" s="3" t="s">
        <v>30</v>
      </c>
      <c r="K183">
        <f t="shared" si="4"/>
        <v>2025</v>
      </c>
      <c r="L183" t="str">
        <f t="shared" si="5"/>
        <v>41-50</v>
      </c>
      <c r="M183">
        <f>Table2[[#This Row],[appointment_date]]-Table2[[#This Row],[booking_date]]</f>
        <v>338</v>
      </c>
    </row>
    <row r="184" spans="1:13" x14ac:dyDescent="0.25">
      <c r="A184" s="4">
        <v>1011</v>
      </c>
      <c r="B184" s="3" t="s">
        <v>513</v>
      </c>
      <c r="C184" s="4">
        <v>53</v>
      </c>
      <c r="D184" s="3" t="s">
        <v>68</v>
      </c>
      <c r="E184" s="5">
        <v>45956</v>
      </c>
      <c r="F184" s="5">
        <v>45914</v>
      </c>
      <c r="G184" s="3" t="s">
        <v>514</v>
      </c>
      <c r="H184" s="3" t="s">
        <v>24</v>
      </c>
      <c r="I184" s="2">
        <v>379.89</v>
      </c>
      <c r="J184" s="3" t="s">
        <v>30</v>
      </c>
      <c r="K184">
        <f t="shared" si="4"/>
        <v>2025</v>
      </c>
      <c r="L184" t="str">
        <f t="shared" si="5"/>
        <v>51-60</v>
      </c>
      <c r="M184">
        <f>Table2[[#This Row],[appointment_date]]-Table2[[#This Row],[booking_date]]</f>
        <v>42</v>
      </c>
    </row>
    <row r="185" spans="1:13" x14ac:dyDescent="0.25">
      <c r="A185" s="4">
        <v>1002</v>
      </c>
      <c r="B185" s="3" t="s">
        <v>516</v>
      </c>
      <c r="C185" s="4">
        <v>35</v>
      </c>
      <c r="D185" s="3" t="s">
        <v>68</v>
      </c>
      <c r="E185" s="5">
        <v>45925</v>
      </c>
      <c r="F185" s="5">
        <v>45436</v>
      </c>
      <c r="G185" s="3" t="s">
        <v>517</v>
      </c>
      <c r="H185" s="3" t="s">
        <v>24</v>
      </c>
      <c r="I185" s="2">
        <v>209.75</v>
      </c>
      <c r="J185" s="3" t="s">
        <v>35</v>
      </c>
      <c r="K185">
        <f t="shared" si="4"/>
        <v>2025</v>
      </c>
      <c r="L185" t="str">
        <f t="shared" si="5"/>
        <v>31-40</v>
      </c>
      <c r="M185">
        <f>Table2[[#This Row],[appointment_date]]-Table2[[#This Row],[booking_date]]</f>
        <v>489</v>
      </c>
    </row>
    <row r="186" spans="1:13" x14ac:dyDescent="0.25">
      <c r="A186" s="4">
        <v>1016</v>
      </c>
      <c r="B186" s="3" t="s">
        <v>519</v>
      </c>
      <c r="C186" s="4">
        <v>44</v>
      </c>
      <c r="D186" s="3" t="s">
        <v>68</v>
      </c>
      <c r="E186" s="5">
        <v>45830</v>
      </c>
      <c r="F186" s="5">
        <v>45461</v>
      </c>
      <c r="G186" s="3" t="s">
        <v>520</v>
      </c>
      <c r="H186" s="3" t="s">
        <v>18</v>
      </c>
      <c r="I186" s="2">
        <v>176.58</v>
      </c>
      <c r="J186" s="3" t="s">
        <v>35</v>
      </c>
      <c r="K186">
        <f t="shared" si="4"/>
        <v>2025</v>
      </c>
      <c r="L186" t="str">
        <f t="shared" si="5"/>
        <v>41-50</v>
      </c>
      <c r="M186">
        <f>Table2[[#This Row],[appointment_date]]-Table2[[#This Row],[booking_date]]</f>
        <v>369</v>
      </c>
    </row>
    <row r="187" spans="1:13" x14ac:dyDescent="0.25">
      <c r="A187" s="4">
        <v>1077</v>
      </c>
      <c r="B187" s="3" t="s">
        <v>522</v>
      </c>
      <c r="C187" s="4">
        <v>83</v>
      </c>
      <c r="D187" s="3" t="s">
        <v>68</v>
      </c>
      <c r="E187" s="5">
        <v>45790</v>
      </c>
      <c r="F187" s="5">
        <v>45716</v>
      </c>
      <c r="G187" s="3" t="s">
        <v>125</v>
      </c>
      <c r="H187" s="3" t="s">
        <v>28</v>
      </c>
      <c r="I187" s="2">
        <v>0.77</v>
      </c>
      <c r="J187" s="3" t="s">
        <v>35</v>
      </c>
      <c r="K187">
        <f t="shared" si="4"/>
        <v>2025</v>
      </c>
      <c r="L187" t="str">
        <f t="shared" si="5"/>
        <v>81-90</v>
      </c>
      <c r="M187">
        <f>Table2[[#This Row],[appointment_date]]-Table2[[#This Row],[booking_date]]</f>
        <v>74</v>
      </c>
    </row>
    <row r="188" spans="1:13" x14ac:dyDescent="0.25">
      <c r="A188" s="4">
        <v>1026</v>
      </c>
      <c r="B188" s="3" t="s">
        <v>524</v>
      </c>
      <c r="C188" s="4">
        <v>25</v>
      </c>
      <c r="D188" s="3" t="s">
        <v>37</v>
      </c>
      <c r="E188" s="5">
        <v>45845</v>
      </c>
      <c r="F188" s="5">
        <v>45449</v>
      </c>
      <c r="G188" s="3" t="s">
        <v>525</v>
      </c>
      <c r="H188" s="3" t="s">
        <v>28</v>
      </c>
      <c r="I188" s="2">
        <v>652.42999999999995</v>
      </c>
      <c r="J188" s="3" t="s">
        <v>35</v>
      </c>
      <c r="K188">
        <f t="shared" si="4"/>
        <v>2025</v>
      </c>
      <c r="L188" t="str">
        <f t="shared" si="5"/>
        <v>18-30</v>
      </c>
      <c r="M188">
        <f>Table2[[#This Row],[appointment_date]]-Table2[[#This Row],[booking_date]]</f>
        <v>396</v>
      </c>
    </row>
    <row r="189" spans="1:13" x14ac:dyDescent="0.25">
      <c r="A189" s="4">
        <v>1052</v>
      </c>
      <c r="B189" s="3" t="s">
        <v>527</v>
      </c>
      <c r="C189" s="4">
        <v>59</v>
      </c>
      <c r="D189" s="3" t="s">
        <v>37</v>
      </c>
      <c r="E189" s="5">
        <v>46095</v>
      </c>
      <c r="F189" s="5">
        <v>45683</v>
      </c>
      <c r="G189" s="3" t="s">
        <v>528</v>
      </c>
      <c r="H189" s="3" t="s">
        <v>18</v>
      </c>
      <c r="I189" s="2">
        <v>353.52</v>
      </c>
      <c r="J189" s="3" t="s">
        <v>30</v>
      </c>
      <c r="K189">
        <f t="shared" si="4"/>
        <v>2026</v>
      </c>
      <c r="L189" t="str">
        <f t="shared" si="5"/>
        <v>51-60</v>
      </c>
      <c r="M189">
        <f>Table2[[#This Row],[appointment_date]]-Table2[[#This Row],[booking_date]]</f>
        <v>412</v>
      </c>
    </row>
    <row r="190" spans="1:13" x14ac:dyDescent="0.25">
      <c r="A190" s="4">
        <v>1040</v>
      </c>
      <c r="B190" s="3" t="s">
        <v>530</v>
      </c>
      <c r="C190" s="4">
        <v>33</v>
      </c>
      <c r="D190" s="3" t="s">
        <v>37</v>
      </c>
      <c r="E190" s="5">
        <v>46041</v>
      </c>
      <c r="F190" s="5">
        <v>45381</v>
      </c>
      <c r="G190" s="3" t="s">
        <v>531</v>
      </c>
      <c r="H190" s="3" t="s">
        <v>28</v>
      </c>
      <c r="I190" s="2">
        <v>307.33999999999997</v>
      </c>
      <c r="J190" s="3" t="s">
        <v>35</v>
      </c>
      <c r="K190">
        <f t="shared" si="4"/>
        <v>2026</v>
      </c>
      <c r="L190" t="str">
        <f t="shared" si="5"/>
        <v>31-40</v>
      </c>
      <c r="M190">
        <f>Table2[[#This Row],[appointment_date]]-Table2[[#This Row],[booking_date]]</f>
        <v>660</v>
      </c>
    </row>
    <row r="191" spans="1:13" x14ac:dyDescent="0.25">
      <c r="A191" s="4">
        <v>1068</v>
      </c>
      <c r="B191" s="3" t="s">
        <v>533</v>
      </c>
      <c r="C191" s="4">
        <v>29</v>
      </c>
      <c r="D191" s="3" t="s">
        <v>68</v>
      </c>
      <c r="E191" s="5">
        <v>45804</v>
      </c>
      <c r="F191" s="5">
        <v>45588</v>
      </c>
      <c r="G191" s="3" t="s">
        <v>534</v>
      </c>
      <c r="H191" s="3" t="s">
        <v>28</v>
      </c>
      <c r="I191" s="2">
        <v>429.14</v>
      </c>
      <c r="J191" s="3" t="s">
        <v>35</v>
      </c>
      <c r="K191">
        <f t="shared" si="4"/>
        <v>2025</v>
      </c>
      <c r="L191" t="str">
        <f t="shared" si="5"/>
        <v>18-30</v>
      </c>
      <c r="M191">
        <f>Table2[[#This Row],[appointment_date]]-Table2[[#This Row],[booking_date]]</f>
        <v>216</v>
      </c>
    </row>
    <row r="192" spans="1:13" x14ac:dyDescent="0.25">
      <c r="A192" s="4">
        <v>1013</v>
      </c>
      <c r="B192" s="3" t="s">
        <v>535</v>
      </c>
      <c r="C192" s="4">
        <v>25</v>
      </c>
      <c r="D192" s="3" t="s">
        <v>68</v>
      </c>
      <c r="E192" s="5">
        <v>45962</v>
      </c>
      <c r="F192" s="5">
        <v>45502</v>
      </c>
      <c r="G192" s="3" t="s">
        <v>536</v>
      </c>
      <c r="H192" s="3" t="s">
        <v>18</v>
      </c>
      <c r="I192" s="2">
        <v>1.02</v>
      </c>
      <c r="J192" s="3" t="s">
        <v>30</v>
      </c>
      <c r="K192">
        <f t="shared" si="4"/>
        <v>2025</v>
      </c>
      <c r="L192" t="str">
        <f t="shared" si="5"/>
        <v>18-30</v>
      </c>
      <c r="M192">
        <f>Table2[[#This Row],[appointment_date]]-Table2[[#This Row],[booking_date]]</f>
        <v>460</v>
      </c>
    </row>
    <row r="193" spans="1:13" x14ac:dyDescent="0.25">
      <c r="A193" s="4">
        <v>1024</v>
      </c>
      <c r="B193" s="3" t="s">
        <v>538</v>
      </c>
      <c r="C193" s="4">
        <v>33</v>
      </c>
      <c r="D193" s="3" t="s">
        <v>37</v>
      </c>
      <c r="E193" s="5">
        <v>46075</v>
      </c>
      <c r="F193" s="5">
        <v>45919</v>
      </c>
      <c r="G193" s="3" t="s">
        <v>539</v>
      </c>
      <c r="H193" s="3" t="s">
        <v>18</v>
      </c>
      <c r="I193" s="2">
        <v>614.21</v>
      </c>
      <c r="J193" s="3" t="s">
        <v>35</v>
      </c>
      <c r="K193">
        <f t="shared" si="4"/>
        <v>2026</v>
      </c>
      <c r="L193" t="str">
        <f t="shared" si="5"/>
        <v>31-40</v>
      </c>
      <c r="M193">
        <f>Table2[[#This Row],[appointment_date]]-Table2[[#This Row],[booking_date]]</f>
        <v>156</v>
      </c>
    </row>
    <row r="194" spans="1:13" x14ac:dyDescent="0.25">
      <c r="A194" s="4">
        <v>1033</v>
      </c>
      <c r="B194" s="3" t="s">
        <v>541</v>
      </c>
      <c r="C194" s="4">
        <v>56</v>
      </c>
      <c r="D194" s="3" t="s">
        <v>37</v>
      </c>
      <c r="E194" s="5">
        <v>45968</v>
      </c>
      <c r="F194" s="5">
        <v>45632</v>
      </c>
      <c r="G194" s="3" t="s">
        <v>542</v>
      </c>
      <c r="H194" s="3" t="s">
        <v>18</v>
      </c>
      <c r="I194" s="2">
        <v>146.41</v>
      </c>
      <c r="J194" s="3" t="s">
        <v>35</v>
      </c>
      <c r="K194">
        <f t="shared" si="4"/>
        <v>2025</v>
      </c>
      <c r="L194" t="str">
        <f t="shared" si="5"/>
        <v>51-60</v>
      </c>
      <c r="M194">
        <f>Table2[[#This Row],[appointment_date]]-Table2[[#This Row],[booking_date]]</f>
        <v>336</v>
      </c>
    </row>
    <row r="195" spans="1:13" x14ac:dyDescent="0.25">
      <c r="A195" s="4">
        <v>1067</v>
      </c>
      <c r="B195" s="3" t="s">
        <v>544</v>
      </c>
      <c r="C195" s="4">
        <v>85</v>
      </c>
      <c r="D195" s="3" t="s">
        <v>68</v>
      </c>
      <c r="E195" s="5">
        <v>45955</v>
      </c>
      <c r="F195" s="5">
        <v>45709</v>
      </c>
      <c r="G195" s="3" t="s">
        <v>545</v>
      </c>
      <c r="H195" s="3" t="s">
        <v>18</v>
      </c>
      <c r="I195" s="2">
        <v>0.94</v>
      </c>
      <c r="J195" s="3" t="s">
        <v>35</v>
      </c>
      <c r="K195">
        <f t="shared" ref="K195:K258" si="6">YEAR(E195)</f>
        <v>2025</v>
      </c>
      <c r="L195" t="str">
        <f t="shared" ref="L195:L258" si="7">IF(C195="","",IF(C195&lt;=30,"18-30",IF(C195&lt;=40,"31-40",IF(C195&lt;=50,"41-50",IF(C195&lt;=60,"51-60",IF(C195&lt;=70,"61-70",IF(C195&lt;=80,"71-80","81-90")))))))</f>
        <v>81-90</v>
      </c>
      <c r="M195">
        <f>Table2[[#This Row],[appointment_date]]-Table2[[#This Row],[booking_date]]</f>
        <v>246</v>
      </c>
    </row>
    <row r="196" spans="1:13" x14ac:dyDescent="0.25">
      <c r="A196" s="4">
        <v>1045</v>
      </c>
      <c r="B196" s="3" t="s">
        <v>547</v>
      </c>
      <c r="C196" s="4">
        <v>24</v>
      </c>
      <c r="D196" s="3" t="s">
        <v>37</v>
      </c>
      <c r="E196" s="5">
        <v>45807</v>
      </c>
      <c r="F196" s="5">
        <v>45736</v>
      </c>
      <c r="G196" s="3" t="s">
        <v>548</v>
      </c>
      <c r="H196" s="3" t="s">
        <v>24</v>
      </c>
      <c r="I196" s="2">
        <v>442.29</v>
      </c>
      <c r="J196" s="3" t="s">
        <v>35</v>
      </c>
      <c r="K196">
        <f t="shared" si="6"/>
        <v>2025</v>
      </c>
      <c r="L196" t="str">
        <f t="shared" si="7"/>
        <v>18-30</v>
      </c>
      <c r="M196">
        <f>Table2[[#This Row],[appointment_date]]-Table2[[#This Row],[booking_date]]</f>
        <v>71</v>
      </c>
    </row>
    <row r="197" spans="1:13" x14ac:dyDescent="0.25">
      <c r="A197" s="4">
        <v>1087</v>
      </c>
      <c r="B197" s="3" t="s">
        <v>550</v>
      </c>
      <c r="C197" s="4">
        <v>31</v>
      </c>
      <c r="D197" s="3" t="s">
        <v>37</v>
      </c>
      <c r="E197" s="5">
        <v>45979</v>
      </c>
      <c r="F197" s="5">
        <v>45749</v>
      </c>
      <c r="G197" s="3" t="s">
        <v>551</v>
      </c>
      <c r="H197" s="3" t="s">
        <v>28</v>
      </c>
      <c r="I197" s="2" t="s">
        <v>2693</v>
      </c>
      <c r="J197" s="3" t="s">
        <v>35</v>
      </c>
      <c r="K197">
        <f t="shared" si="6"/>
        <v>2025</v>
      </c>
      <c r="L197" t="str">
        <f t="shared" si="7"/>
        <v>31-40</v>
      </c>
      <c r="M197">
        <f>Table2[[#This Row],[appointment_date]]-Table2[[#This Row],[booking_date]]</f>
        <v>230</v>
      </c>
    </row>
    <row r="198" spans="1:13" x14ac:dyDescent="0.25">
      <c r="A198" s="4">
        <v>1056</v>
      </c>
      <c r="B198" s="3" t="s">
        <v>552</v>
      </c>
      <c r="C198" s="4">
        <v>24</v>
      </c>
      <c r="D198" s="3" t="s">
        <v>37</v>
      </c>
      <c r="E198" s="5">
        <v>45769</v>
      </c>
      <c r="F198" s="5">
        <v>45740</v>
      </c>
      <c r="G198" s="3" t="s">
        <v>553</v>
      </c>
      <c r="H198" s="3" t="s">
        <v>28</v>
      </c>
      <c r="I198" s="2" t="s">
        <v>2693</v>
      </c>
      <c r="J198" s="3" t="s">
        <v>35</v>
      </c>
      <c r="K198">
        <f t="shared" si="6"/>
        <v>2025</v>
      </c>
      <c r="L198" t="str">
        <f t="shared" si="7"/>
        <v>18-30</v>
      </c>
      <c r="M198">
        <f>Table2[[#This Row],[appointment_date]]-Table2[[#This Row],[booking_date]]</f>
        <v>29</v>
      </c>
    </row>
    <row r="199" spans="1:13" x14ac:dyDescent="0.25">
      <c r="A199" s="4">
        <v>1053</v>
      </c>
      <c r="B199" s="3" t="s">
        <v>554</v>
      </c>
      <c r="C199" s="4">
        <v>81</v>
      </c>
      <c r="D199" s="3" t="s">
        <v>37</v>
      </c>
      <c r="E199" s="5">
        <v>45760</v>
      </c>
      <c r="F199" s="5">
        <v>45629</v>
      </c>
      <c r="G199" s="3" t="s">
        <v>555</v>
      </c>
      <c r="H199" s="3" t="s">
        <v>13</v>
      </c>
      <c r="I199" s="2">
        <v>664.56</v>
      </c>
      <c r="J199" s="3" t="s">
        <v>35</v>
      </c>
      <c r="K199">
        <f t="shared" si="6"/>
        <v>2025</v>
      </c>
      <c r="L199" t="str">
        <f t="shared" si="7"/>
        <v>81-90</v>
      </c>
      <c r="M199">
        <f>Table2[[#This Row],[appointment_date]]-Table2[[#This Row],[booking_date]]</f>
        <v>131</v>
      </c>
    </row>
    <row r="200" spans="1:13" x14ac:dyDescent="0.25">
      <c r="A200" s="4">
        <v>1059</v>
      </c>
      <c r="B200" s="3" t="s">
        <v>557</v>
      </c>
      <c r="C200" s="4">
        <v>79</v>
      </c>
      <c r="D200" s="3" t="s">
        <v>68</v>
      </c>
      <c r="E200" s="5">
        <v>45893</v>
      </c>
      <c r="F200" s="5">
        <v>45890</v>
      </c>
      <c r="G200" s="3" t="s">
        <v>558</v>
      </c>
      <c r="H200" s="3" t="s">
        <v>18</v>
      </c>
      <c r="I200" s="2">
        <v>74.64</v>
      </c>
      <c r="J200" s="3" t="s">
        <v>35</v>
      </c>
      <c r="K200">
        <f t="shared" si="6"/>
        <v>2025</v>
      </c>
      <c r="L200" t="str">
        <f t="shared" si="7"/>
        <v>71-80</v>
      </c>
      <c r="M200">
        <f>Table2[[#This Row],[appointment_date]]-Table2[[#This Row],[booking_date]]</f>
        <v>3</v>
      </c>
    </row>
    <row r="201" spans="1:13" x14ac:dyDescent="0.25">
      <c r="A201" s="4">
        <v>1050</v>
      </c>
      <c r="B201" s="3" t="s">
        <v>560</v>
      </c>
      <c r="C201" s="4">
        <v>32</v>
      </c>
      <c r="D201" s="3" t="s">
        <v>68</v>
      </c>
      <c r="E201" s="5">
        <v>45751</v>
      </c>
      <c r="F201" s="5">
        <v>45428</v>
      </c>
      <c r="G201" s="3" t="s">
        <v>561</v>
      </c>
      <c r="H201" s="3" t="s">
        <v>18</v>
      </c>
      <c r="I201" s="2">
        <v>3.97</v>
      </c>
      <c r="J201" s="3" t="s">
        <v>35</v>
      </c>
      <c r="K201">
        <f t="shared" si="6"/>
        <v>2025</v>
      </c>
      <c r="L201" t="str">
        <f t="shared" si="7"/>
        <v>31-40</v>
      </c>
      <c r="M201">
        <f>Table2[[#This Row],[appointment_date]]-Table2[[#This Row],[booking_date]]</f>
        <v>323</v>
      </c>
    </row>
    <row r="202" spans="1:13" x14ac:dyDescent="0.25">
      <c r="A202" s="4">
        <v>1044</v>
      </c>
      <c r="B202" s="3" t="s">
        <v>563</v>
      </c>
      <c r="C202" s="4">
        <v>21</v>
      </c>
      <c r="D202" s="3" t="s">
        <v>37</v>
      </c>
      <c r="E202" s="5">
        <v>45830</v>
      </c>
      <c r="F202" s="5">
        <v>45452</v>
      </c>
      <c r="G202" s="3" t="s">
        <v>564</v>
      </c>
      <c r="H202" s="3" t="s">
        <v>18</v>
      </c>
      <c r="I202" s="2">
        <v>273.06</v>
      </c>
      <c r="J202" s="3" t="s">
        <v>30</v>
      </c>
      <c r="K202">
        <f t="shared" si="6"/>
        <v>2025</v>
      </c>
      <c r="L202" t="str">
        <f t="shared" si="7"/>
        <v>18-30</v>
      </c>
      <c r="M202">
        <f>Table2[[#This Row],[appointment_date]]-Table2[[#This Row],[booking_date]]</f>
        <v>378</v>
      </c>
    </row>
    <row r="203" spans="1:13" x14ac:dyDescent="0.25">
      <c r="A203" s="4">
        <v>1089</v>
      </c>
      <c r="B203" s="3" t="s">
        <v>566</v>
      </c>
      <c r="C203" s="4">
        <v>48</v>
      </c>
      <c r="D203" s="3" t="s">
        <v>68</v>
      </c>
      <c r="E203" s="5">
        <v>45742</v>
      </c>
      <c r="F203" s="5">
        <v>45629</v>
      </c>
      <c r="G203" s="3" t="s">
        <v>567</v>
      </c>
      <c r="H203" s="3" t="s">
        <v>13</v>
      </c>
      <c r="I203" s="2">
        <v>2.12</v>
      </c>
      <c r="J203" s="3" t="s">
        <v>30</v>
      </c>
      <c r="K203">
        <f t="shared" si="6"/>
        <v>2025</v>
      </c>
      <c r="L203" t="str">
        <f t="shared" si="7"/>
        <v>41-50</v>
      </c>
      <c r="M203">
        <f>Table2[[#This Row],[appointment_date]]-Table2[[#This Row],[booking_date]]</f>
        <v>113</v>
      </c>
    </row>
    <row r="204" spans="1:13" x14ac:dyDescent="0.25">
      <c r="A204" s="4">
        <v>1074</v>
      </c>
      <c r="B204" s="3" t="s">
        <v>569</v>
      </c>
      <c r="C204" s="4">
        <v>23</v>
      </c>
      <c r="D204" s="3" t="s">
        <v>68</v>
      </c>
      <c r="E204" s="5">
        <v>45984</v>
      </c>
      <c r="F204" s="5">
        <v>45910</v>
      </c>
      <c r="G204" s="3" t="s">
        <v>570</v>
      </c>
      <c r="H204" s="3" t="s">
        <v>18</v>
      </c>
      <c r="I204" s="2">
        <v>427.38</v>
      </c>
      <c r="J204" s="3" t="s">
        <v>30</v>
      </c>
      <c r="K204">
        <f t="shared" si="6"/>
        <v>2025</v>
      </c>
      <c r="L204" t="str">
        <f t="shared" si="7"/>
        <v>18-30</v>
      </c>
      <c r="M204">
        <f>Table2[[#This Row],[appointment_date]]-Table2[[#This Row],[booking_date]]</f>
        <v>74</v>
      </c>
    </row>
    <row r="205" spans="1:13" x14ac:dyDescent="0.25">
      <c r="A205" s="4">
        <v>1026</v>
      </c>
      <c r="B205" s="3" t="s">
        <v>572</v>
      </c>
      <c r="C205" s="4">
        <v>87</v>
      </c>
      <c r="D205" s="3" t="s">
        <v>37</v>
      </c>
      <c r="E205" s="5">
        <v>46059</v>
      </c>
      <c r="F205" s="5">
        <v>45515</v>
      </c>
      <c r="G205" s="3" t="s">
        <v>573</v>
      </c>
      <c r="H205" s="3" t="s">
        <v>24</v>
      </c>
      <c r="I205" s="2">
        <v>446.44</v>
      </c>
      <c r="J205" s="3" t="s">
        <v>35</v>
      </c>
      <c r="K205">
        <f t="shared" si="6"/>
        <v>2026</v>
      </c>
      <c r="L205" t="str">
        <f t="shared" si="7"/>
        <v>81-90</v>
      </c>
      <c r="M205">
        <f>Table2[[#This Row],[appointment_date]]-Table2[[#This Row],[booking_date]]</f>
        <v>544</v>
      </c>
    </row>
    <row r="206" spans="1:13" x14ac:dyDescent="0.25">
      <c r="A206" s="4">
        <v>1059</v>
      </c>
      <c r="B206" s="3" t="s">
        <v>574</v>
      </c>
      <c r="C206" s="4">
        <v>27</v>
      </c>
      <c r="D206" s="3" t="s">
        <v>37</v>
      </c>
      <c r="E206" s="5">
        <v>45892</v>
      </c>
      <c r="F206" s="5">
        <v>45608</v>
      </c>
      <c r="G206" s="3" t="s">
        <v>575</v>
      </c>
      <c r="H206" s="3" t="s">
        <v>28</v>
      </c>
      <c r="I206" s="2">
        <v>165.8</v>
      </c>
      <c r="J206" s="3" t="s">
        <v>35</v>
      </c>
      <c r="K206">
        <f t="shared" si="6"/>
        <v>2025</v>
      </c>
      <c r="L206" t="str">
        <f t="shared" si="7"/>
        <v>18-30</v>
      </c>
      <c r="M206">
        <f>Table2[[#This Row],[appointment_date]]-Table2[[#This Row],[booking_date]]</f>
        <v>284</v>
      </c>
    </row>
    <row r="207" spans="1:13" x14ac:dyDescent="0.25">
      <c r="A207" s="4">
        <v>1065</v>
      </c>
      <c r="B207" s="3" t="s">
        <v>576</v>
      </c>
      <c r="C207" s="4">
        <v>71</v>
      </c>
      <c r="D207" s="3" t="s">
        <v>37</v>
      </c>
      <c r="E207" s="5">
        <v>46088</v>
      </c>
      <c r="F207" s="5">
        <v>45746</v>
      </c>
      <c r="G207" s="3" t="s">
        <v>577</v>
      </c>
      <c r="H207" s="3" t="s">
        <v>13</v>
      </c>
      <c r="I207" s="2">
        <v>5.43</v>
      </c>
      <c r="J207" s="3" t="s">
        <v>35</v>
      </c>
      <c r="K207">
        <f t="shared" si="6"/>
        <v>2026</v>
      </c>
      <c r="L207" t="str">
        <f t="shared" si="7"/>
        <v>71-80</v>
      </c>
      <c r="M207">
        <f>Table2[[#This Row],[appointment_date]]-Table2[[#This Row],[booking_date]]</f>
        <v>342</v>
      </c>
    </row>
    <row r="208" spans="1:13" x14ac:dyDescent="0.25">
      <c r="A208" s="4">
        <v>1085</v>
      </c>
      <c r="B208" s="3" t="s">
        <v>579</v>
      </c>
      <c r="C208" s="4">
        <v>75</v>
      </c>
      <c r="D208" s="3" t="s">
        <v>68</v>
      </c>
      <c r="E208" s="5">
        <v>45967</v>
      </c>
      <c r="F208" s="5">
        <v>45579</v>
      </c>
      <c r="G208" s="3" t="s">
        <v>580</v>
      </c>
      <c r="H208" s="3" t="s">
        <v>18</v>
      </c>
      <c r="I208" s="2" t="s">
        <v>2693</v>
      </c>
      <c r="J208" s="3" t="s">
        <v>35</v>
      </c>
      <c r="K208">
        <f t="shared" si="6"/>
        <v>2025</v>
      </c>
      <c r="L208" t="str">
        <f t="shared" si="7"/>
        <v>71-80</v>
      </c>
      <c r="M208">
        <f>Table2[[#This Row],[appointment_date]]-Table2[[#This Row],[booking_date]]</f>
        <v>388</v>
      </c>
    </row>
    <row r="209" spans="1:13" x14ac:dyDescent="0.25">
      <c r="A209" s="4">
        <v>1024</v>
      </c>
      <c r="B209" s="3" t="s">
        <v>581</v>
      </c>
      <c r="C209" s="4">
        <v>86</v>
      </c>
      <c r="D209" s="3" t="s">
        <v>68</v>
      </c>
      <c r="E209" s="5">
        <v>46070</v>
      </c>
      <c r="F209" s="5">
        <v>46037</v>
      </c>
      <c r="G209" s="3" t="s">
        <v>582</v>
      </c>
      <c r="H209" s="3" t="s">
        <v>18</v>
      </c>
      <c r="I209" s="2">
        <v>548.4</v>
      </c>
      <c r="J209" s="3" t="s">
        <v>35</v>
      </c>
      <c r="K209">
        <f t="shared" si="6"/>
        <v>2026</v>
      </c>
      <c r="L209" t="str">
        <f t="shared" si="7"/>
        <v>81-90</v>
      </c>
      <c r="M209">
        <f>Table2[[#This Row],[appointment_date]]-Table2[[#This Row],[booking_date]]</f>
        <v>33</v>
      </c>
    </row>
    <row r="210" spans="1:13" x14ac:dyDescent="0.25">
      <c r="A210" s="4">
        <v>1048</v>
      </c>
      <c r="B210" s="3" t="s">
        <v>584</v>
      </c>
      <c r="C210" s="4">
        <v>33</v>
      </c>
      <c r="D210" s="3"/>
      <c r="E210" s="5">
        <v>45926</v>
      </c>
      <c r="F210" s="5">
        <v>45538</v>
      </c>
      <c r="G210" s="3" t="s">
        <v>585</v>
      </c>
      <c r="H210" s="3" t="s">
        <v>24</v>
      </c>
      <c r="I210" s="2" t="s">
        <v>2693</v>
      </c>
      <c r="J210" s="3" t="s">
        <v>35</v>
      </c>
      <c r="K210">
        <f t="shared" si="6"/>
        <v>2025</v>
      </c>
      <c r="L210" t="str">
        <f t="shared" si="7"/>
        <v>31-40</v>
      </c>
      <c r="M210">
        <f>Table2[[#This Row],[appointment_date]]-Table2[[#This Row],[booking_date]]</f>
        <v>388</v>
      </c>
    </row>
    <row r="211" spans="1:13" x14ac:dyDescent="0.25">
      <c r="A211" s="4">
        <v>1069</v>
      </c>
      <c r="B211" s="3" t="s">
        <v>586</v>
      </c>
      <c r="C211" s="4">
        <v>73</v>
      </c>
      <c r="D211" s="3" t="s">
        <v>37</v>
      </c>
      <c r="E211" s="5">
        <v>46030</v>
      </c>
      <c r="F211" s="5">
        <v>45517</v>
      </c>
      <c r="G211" s="3" t="s">
        <v>587</v>
      </c>
      <c r="H211" s="3" t="s">
        <v>28</v>
      </c>
      <c r="I211" s="2">
        <v>96.48</v>
      </c>
      <c r="J211" s="3" t="s">
        <v>35</v>
      </c>
      <c r="K211">
        <f t="shared" si="6"/>
        <v>2026</v>
      </c>
      <c r="L211" t="str">
        <f t="shared" si="7"/>
        <v>71-80</v>
      </c>
      <c r="M211">
        <f>Table2[[#This Row],[appointment_date]]-Table2[[#This Row],[booking_date]]</f>
        <v>513</v>
      </c>
    </row>
    <row r="212" spans="1:13" x14ac:dyDescent="0.25">
      <c r="A212" s="4">
        <v>1071</v>
      </c>
      <c r="B212" s="3" t="s">
        <v>588</v>
      </c>
      <c r="C212" s="4">
        <v>73</v>
      </c>
      <c r="D212" s="3" t="s">
        <v>68</v>
      </c>
      <c r="E212" s="5">
        <v>45964</v>
      </c>
      <c r="F212" s="5">
        <v>45408</v>
      </c>
      <c r="G212" s="3" t="s">
        <v>589</v>
      </c>
      <c r="H212" s="3" t="s">
        <v>18</v>
      </c>
      <c r="I212" s="2">
        <v>473.52</v>
      </c>
      <c r="J212" s="3" t="s">
        <v>35</v>
      </c>
      <c r="K212">
        <f t="shared" si="6"/>
        <v>2025</v>
      </c>
      <c r="L212" t="str">
        <f t="shared" si="7"/>
        <v>71-80</v>
      </c>
      <c r="M212">
        <f>Table2[[#This Row],[appointment_date]]-Table2[[#This Row],[booking_date]]</f>
        <v>556</v>
      </c>
    </row>
    <row r="213" spans="1:13" x14ac:dyDescent="0.25">
      <c r="A213" s="4">
        <v>1076</v>
      </c>
      <c r="B213" s="3" t="s">
        <v>591</v>
      </c>
      <c r="C213" s="4">
        <v>21</v>
      </c>
      <c r="D213" s="3" t="s">
        <v>37</v>
      </c>
      <c r="E213" s="5">
        <v>45949</v>
      </c>
      <c r="F213" s="5">
        <v>45871</v>
      </c>
      <c r="G213" s="3" t="s">
        <v>592</v>
      </c>
      <c r="H213" s="3" t="s">
        <v>18</v>
      </c>
      <c r="I213" s="2">
        <v>3.63</v>
      </c>
      <c r="J213" s="3" t="s">
        <v>35</v>
      </c>
      <c r="K213">
        <f t="shared" si="6"/>
        <v>2025</v>
      </c>
      <c r="L213" t="str">
        <f t="shared" si="7"/>
        <v>18-30</v>
      </c>
      <c r="M213">
        <f>Table2[[#This Row],[appointment_date]]-Table2[[#This Row],[booking_date]]</f>
        <v>78</v>
      </c>
    </row>
    <row r="214" spans="1:13" x14ac:dyDescent="0.25">
      <c r="A214" s="4">
        <v>1057</v>
      </c>
      <c r="B214" s="3" t="s">
        <v>594</v>
      </c>
      <c r="C214" s="4">
        <v>28</v>
      </c>
      <c r="D214" s="3" t="s">
        <v>68</v>
      </c>
      <c r="E214" s="5">
        <v>45816</v>
      </c>
      <c r="F214" s="5">
        <v>45814</v>
      </c>
      <c r="G214" s="3" t="s">
        <v>595</v>
      </c>
      <c r="H214" s="3" t="s">
        <v>24</v>
      </c>
      <c r="I214" s="2">
        <v>586.16</v>
      </c>
      <c r="J214" s="3" t="s">
        <v>30</v>
      </c>
      <c r="K214">
        <f t="shared" si="6"/>
        <v>2025</v>
      </c>
      <c r="L214" t="str">
        <f t="shared" si="7"/>
        <v>18-30</v>
      </c>
      <c r="M214">
        <f>Table2[[#This Row],[appointment_date]]-Table2[[#This Row],[booking_date]]</f>
        <v>2</v>
      </c>
    </row>
    <row r="215" spans="1:13" x14ac:dyDescent="0.25">
      <c r="A215" s="4">
        <v>1029</v>
      </c>
      <c r="B215" s="3" t="s">
        <v>597</v>
      </c>
      <c r="C215" s="4">
        <v>49</v>
      </c>
      <c r="D215" s="3" t="s">
        <v>37</v>
      </c>
      <c r="E215" s="5">
        <v>45792</v>
      </c>
      <c r="F215" s="5">
        <v>45756</v>
      </c>
      <c r="G215" s="3" t="s">
        <v>598</v>
      </c>
      <c r="H215" s="3" t="s">
        <v>24</v>
      </c>
      <c r="I215" s="2">
        <v>321.47000000000003</v>
      </c>
      <c r="J215" s="3" t="s">
        <v>35</v>
      </c>
      <c r="K215">
        <f t="shared" si="6"/>
        <v>2025</v>
      </c>
      <c r="L215" t="str">
        <f t="shared" si="7"/>
        <v>41-50</v>
      </c>
      <c r="M215">
        <f>Table2[[#This Row],[appointment_date]]-Table2[[#This Row],[booking_date]]</f>
        <v>36</v>
      </c>
    </row>
    <row r="216" spans="1:13" x14ac:dyDescent="0.25">
      <c r="A216" s="4">
        <v>1049</v>
      </c>
      <c r="B216" s="3" t="s">
        <v>600</v>
      </c>
      <c r="C216" s="4">
        <v>65</v>
      </c>
      <c r="D216" s="3" t="s">
        <v>68</v>
      </c>
      <c r="E216" s="5">
        <v>46032</v>
      </c>
      <c r="F216" s="5">
        <v>46028</v>
      </c>
      <c r="G216" s="3" t="s">
        <v>601</v>
      </c>
      <c r="H216" s="3" t="s">
        <v>28</v>
      </c>
      <c r="I216" s="2">
        <v>547.67999999999995</v>
      </c>
      <c r="J216" s="3" t="s">
        <v>35</v>
      </c>
      <c r="K216">
        <f t="shared" si="6"/>
        <v>2026</v>
      </c>
      <c r="L216" t="str">
        <f t="shared" si="7"/>
        <v>61-70</v>
      </c>
      <c r="M216">
        <f>Table2[[#This Row],[appointment_date]]-Table2[[#This Row],[booking_date]]</f>
        <v>4</v>
      </c>
    </row>
    <row r="217" spans="1:13" x14ac:dyDescent="0.25">
      <c r="A217" s="4">
        <v>1049</v>
      </c>
      <c r="B217" s="3" t="s">
        <v>603</v>
      </c>
      <c r="C217" s="4">
        <v>59</v>
      </c>
      <c r="D217" s="3" t="s">
        <v>68</v>
      </c>
      <c r="E217" s="5">
        <v>45975</v>
      </c>
      <c r="F217" s="5">
        <v>45770</v>
      </c>
      <c r="G217" s="3" t="s">
        <v>604</v>
      </c>
      <c r="H217" s="3" t="s">
        <v>24</v>
      </c>
      <c r="I217" s="2">
        <v>267.58</v>
      </c>
      <c r="J217" s="3" t="s">
        <v>30</v>
      </c>
      <c r="K217">
        <f t="shared" si="6"/>
        <v>2025</v>
      </c>
      <c r="L217" t="str">
        <f t="shared" si="7"/>
        <v>51-60</v>
      </c>
      <c r="M217">
        <f>Table2[[#This Row],[appointment_date]]-Table2[[#This Row],[booking_date]]</f>
        <v>205</v>
      </c>
    </row>
    <row r="218" spans="1:13" x14ac:dyDescent="0.25">
      <c r="A218" s="4">
        <v>1076</v>
      </c>
      <c r="B218" s="3" t="s">
        <v>606</v>
      </c>
      <c r="C218" s="4">
        <v>24</v>
      </c>
      <c r="D218" s="3" t="s">
        <v>37</v>
      </c>
      <c r="E218" s="5">
        <v>45936</v>
      </c>
      <c r="F218" s="5">
        <v>45456</v>
      </c>
      <c r="G218" s="3" t="s">
        <v>607</v>
      </c>
      <c r="H218" s="3" t="s">
        <v>18</v>
      </c>
      <c r="I218" s="2">
        <v>174.1</v>
      </c>
      <c r="J218" s="3" t="s">
        <v>35</v>
      </c>
      <c r="K218">
        <f t="shared" si="6"/>
        <v>2025</v>
      </c>
      <c r="L218" t="str">
        <f t="shared" si="7"/>
        <v>18-30</v>
      </c>
      <c r="M218">
        <f>Table2[[#This Row],[appointment_date]]-Table2[[#This Row],[booking_date]]</f>
        <v>480</v>
      </c>
    </row>
    <row r="219" spans="1:13" x14ac:dyDescent="0.25">
      <c r="A219" s="4">
        <v>1083</v>
      </c>
      <c r="B219" s="3" t="s">
        <v>609</v>
      </c>
      <c r="C219" s="4">
        <v>56</v>
      </c>
      <c r="D219" s="3" t="s">
        <v>37</v>
      </c>
      <c r="E219" s="5">
        <v>45754</v>
      </c>
      <c r="F219" s="5">
        <v>45665</v>
      </c>
      <c r="G219" s="3" t="s">
        <v>610</v>
      </c>
      <c r="H219" s="3" t="s">
        <v>24</v>
      </c>
      <c r="I219" s="2">
        <v>314.47000000000003</v>
      </c>
      <c r="J219" s="3" t="s">
        <v>35</v>
      </c>
      <c r="K219">
        <f t="shared" si="6"/>
        <v>2025</v>
      </c>
      <c r="L219" t="str">
        <f t="shared" si="7"/>
        <v>51-60</v>
      </c>
      <c r="M219">
        <f>Table2[[#This Row],[appointment_date]]-Table2[[#This Row],[booking_date]]</f>
        <v>89</v>
      </c>
    </row>
    <row r="220" spans="1:13" x14ac:dyDescent="0.25">
      <c r="A220" s="4">
        <v>1083</v>
      </c>
      <c r="B220" s="3" t="s">
        <v>612</v>
      </c>
      <c r="C220" s="4">
        <v>21</v>
      </c>
      <c r="D220" s="3" t="s">
        <v>37</v>
      </c>
      <c r="E220" s="5">
        <v>45887</v>
      </c>
      <c r="F220" s="5">
        <v>45496</v>
      </c>
      <c r="G220" s="3" t="s">
        <v>613</v>
      </c>
      <c r="H220" s="3" t="s">
        <v>13</v>
      </c>
      <c r="I220" s="2">
        <v>96.21</v>
      </c>
      <c r="J220" s="3" t="s">
        <v>35</v>
      </c>
      <c r="K220">
        <f t="shared" si="6"/>
        <v>2025</v>
      </c>
      <c r="L220" t="str">
        <f t="shared" si="7"/>
        <v>18-30</v>
      </c>
      <c r="M220">
        <f>Table2[[#This Row],[appointment_date]]-Table2[[#This Row],[booking_date]]</f>
        <v>391</v>
      </c>
    </row>
    <row r="221" spans="1:13" x14ac:dyDescent="0.25">
      <c r="A221" s="4">
        <v>1091</v>
      </c>
      <c r="B221" s="3" t="s">
        <v>614</v>
      </c>
      <c r="C221" s="4">
        <v>20</v>
      </c>
      <c r="D221" s="3" t="s">
        <v>68</v>
      </c>
      <c r="E221" s="5">
        <v>45997</v>
      </c>
      <c r="F221" s="5">
        <v>45986</v>
      </c>
      <c r="G221" s="3" t="s">
        <v>615</v>
      </c>
      <c r="H221" s="3" t="s">
        <v>28</v>
      </c>
      <c r="I221" s="2">
        <v>302.93</v>
      </c>
      <c r="J221" s="3" t="s">
        <v>35</v>
      </c>
      <c r="K221">
        <f t="shared" si="6"/>
        <v>2025</v>
      </c>
      <c r="L221" t="str">
        <f t="shared" si="7"/>
        <v>18-30</v>
      </c>
      <c r="M221">
        <f>Table2[[#This Row],[appointment_date]]-Table2[[#This Row],[booking_date]]</f>
        <v>11</v>
      </c>
    </row>
    <row r="222" spans="1:13" x14ac:dyDescent="0.25">
      <c r="A222" s="4">
        <v>1099</v>
      </c>
      <c r="B222" s="3" t="s">
        <v>617</v>
      </c>
      <c r="C222" s="4">
        <v>23</v>
      </c>
      <c r="D222" s="3" t="s">
        <v>68</v>
      </c>
      <c r="E222" s="5">
        <v>45897</v>
      </c>
      <c r="F222" s="5">
        <v>45539</v>
      </c>
      <c r="G222" s="3" t="s">
        <v>618</v>
      </c>
      <c r="H222" s="3" t="s">
        <v>13</v>
      </c>
      <c r="I222" s="2">
        <v>3.13</v>
      </c>
      <c r="J222" s="3" t="s">
        <v>30</v>
      </c>
      <c r="K222">
        <f t="shared" si="6"/>
        <v>2025</v>
      </c>
      <c r="L222" t="str">
        <f t="shared" si="7"/>
        <v>18-30</v>
      </c>
      <c r="M222">
        <f>Table2[[#This Row],[appointment_date]]-Table2[[#This Row],[booking_date]]</f>
        <v>358</v>
      </c>
    </row>
    <row r="223" spans="1:13" x14ac:dyDescent="0.25">
      <c r="A223" s="4">
        <v>1098</v>
      </c>
      <c r="B223" s="3" t="s">
        <v>620</v>
      </c>
      <c r="C223" s="4">
        <v>39</v>
      </c>
      <c r="D223" s="3" t="s">
        <v>37</v>
      </c>
      <c r="E223" s="5">
        <v>45962</v>
      </c>
      <c r="F223" s="5">
        <v>45578</v>
      </c>
      <c r="G223" s="3" t="s">
        <v>621</v>
      </c>
      <c r="H223" s="3" t="s">
        <v>28</v>
      </c>
      <c r="I223" s="2">
        <v>396.88</v>
      </c>
      <c r="J223" s="3" t="s">
        <v>30</v>
      </c>
      <c r="K223">
        <f t="shared" si="6"/>
        <v>2025</v>
      </c>
      <c r="L223" t="str">
        <f t="shared" si="7"/>
        <v>31-40</v>
      </c>
      <c r="M223">
        <f>Table2[[#This Row],[appointment_date]]-Table2[[#This Row],[booking_date]]</f>
        <v>384</v>
      </c>
    </row>
    <row r="224" spans="1:13" x14ac:dyDescent="0.25">
      <c r="A224" s="4">
        <v>1060</v>
      </c>
      <c r="B224" s="3" t="s">
        <v>623</v>
      </c>
      <c r="C224" s="4">
        <v>32</v>
      </c>
      <c r="D224" s="3"/>
      <c r="E224" s="5">
        <v>46024</v>
      </c>
      <c r="F224" s="5">
        <v>45706</v>
      </c>
      <c r="G224" s="3" t="s">
        <v>624</v>
      </c>
      <c r="H224" s="3" t="s">
        <v>18</v>
      </c>
      <c r="I224" s="2">
        <v>602.08000000000004</v>
      </c>
      <c r="J224" s="3" t="s">
        <v>35</v>
      </c>
      <c r="K224">
        <f t="shared" si="6"/>
        <v>2026</v>
      </c>
      <c r="L224" t="str">
        <f t="shared" si="7"/>
        <v>31-40</v>
      </c>
      <c r="M224">
        <f>Table2[[#This Row],[appointment_date]]-Table2[[#This Row],[booking_date]]</f>
        <v>318</v>
      </c>
    </row>
    <row r="225" spans="1:13" x14ac:dyDescent="0.25">
      <c r="A225" s="4">
        <v>1091</v>
      </c>
      <c r="B225" s="3" t="s">
        <v>626</v>
      </c>
      <c r="C225" s="4">
        <v>67</v>
      </c>
      <c r="D225" s="3" t="s">
        <v>68</v>
      </c>
      <c r="E225" s="5">
        <v>45870</v>
      </c>
      <c r="F225" s="5">
        <v>45786</v>
      </c>
      <c r="G225" s="3" t="s">
        <v>627</v>
      </c>
      <c r="H225" s="3" t="s">
        <v>24</v>
      </c>
      <c r="I225" s="2">
        <v>438.67</v>
      </c>
      <c r="J225" s="3" t="s">
        <v>30</v>
      </c>
      <c r="K225">
        <f t="shared" si="6"/>
        <v>2025</v>
      </c>
      <c r="L225" t="str">
        <f t="shared" si="7"/>
        <v>61-70</v>
      </c>
      <c r="M225">
        <f>Table2[[#This Row],[appointment_date]]-Table2[[#This Row],[booking_date]]</f>
        <v>84</v>
      </c>
    </row>
    <row r="226" spans="1:13" x14ac:dyDescent="0.25">
      <c r="A226" s="4">
        <v>1031</v>
      </c>
      <c r="B226" s="3" t="s">
        <v>629</v>
      </c>
      <c r="C226" s="4">
        <v>23</v>
      </c>
      <c r="D226" s="3" t="s">
        <v>68</v>
      </c>
      <c r="E226" s="5">
        <v>46087</v>
      </c>
      <c r="F226" s="5">
        <v>45493</v>
      </c>
      <c r="G226" s="3" t="s">
        <v>630</v>
      </c>
      <c r="H226" s="3" t="s">
        <v>13</v>
      </c>
      <c r="I226" s="2">
        <v>504.96</v>
      </c>
      <c r="J226" s="3" t="s">
        <v>35</v>
      </c>
      <c r="K226">
        <f t="shared" si="6"/>
        <v>2026</v>
      </c>
      <c r="L226" t="str">
        <f t="shared" si="7"/>
        <v>18-30</v>
      </c>
      <c r="M226">
        <f>Table2[[#This Row],[appointment_date]]-Table2[[#This Row],[booking_date]]</f>
        <v>594</v>
      </c>
    </row>
    <row r="227" spans="1:13" x14ac:dyDescent="0.25">
      <c r="A227" s="4">
        <v>1018</v>
      </c>
      <c r="B227" s="3" t="s">
        <v>632</v>
      </c>
      <c r="C227" s="4">
        <v>71</v>
      </c>
      <c r="D227" s="3" t="s">
        <v>68</v>
      </c>
      <c r="E227" s="5">
        <v>45794</v>
      </c>
      <c r="F227" s="5">
        <v>45651</v>
      </c>
      <c r="G227" s="3" t="s">
        <v>633</v>
      </c>
      <c r="H227" s="3" t="s">
        <v>24</v>
      </c>
      <c r="I227" s="2">
        <v>1.46</v>
      </c>
      <c r="J227" s="3" t="s">
        <v>35</v>
      </c>
      <c r="K227">
        <f t="shared" si="6"/>
        <v>2025</v>
      </c>
      <c r="L227" t="str">
        <f t="shared" si="7"/>
        <v>71-80</v>
      </c>
      <c r="M227">
        <f>Table2[[#This Row],[appointment_date]]-Table2[[#This Row],[booking_date]]</f>
        <v>143</v>
      </c>
    </row>
    <row r="228" spans="1:13" x14ac:dyDescent="0.25">
      <c r="A228" s="4">
        <v>1054</v>
      </c>
      <c r="B228" s="3" t="s">
        <v>635</v>
      </c>
      <c r="C228" s="4">
        <v>68</v>
      </c>
      <c r="D228" s="3" t="s">
        <v>68</v>
      </c>
      <c r="E228" s="5">
        <v>45761</v>
      </c>
      <c r="F228" s="5">
        <v>45701</v>
      </c>
      <c r="G228" s="3" t="s">
        <v>636</v>
      </c>
      <c r="H228" s="3" t="s">
        <v>28</v>
      </c>
      <c r="I228" s="2">
        <v>223.5</v>
      </c>
      <c r="J228" s="3" t="s">
        <v>30</v>
      </c>
      <c r="K228">
        <f t="shared" si="6"/>
        <v>2025</v>
      </c>
      <c r="L228" t="str">
        <f t="shared" si="7"/>
        <v>61-70</v>
      </c>
      <c r="M228">
        <f>Table2[[#This Row],[appointment_date]]-Table2[[#This Row],[booking_date]]</f>
        <v>60</v>
      </c>
    </row>
    <row r="229" spans="1:13" x14ac:dyDescent="0.25">
      <c r="A229" s="4">
        <v>1038</v>
      </c>
      <c r="B229" s="3" t="s">
        <v>638</v>
      </c>
      <c r="C229" s="4">
        <v>19</v>
      </c>
      <c r="D229" s="3" t="s">
        <v>68</v>
      </c>
      <c r="E229" s="5">
        <v>45747</v>
      </c>
      <c r="F229" s="5">
        <v>45592</v>
      </c>
      <c r="G229" s="3" t="s">
        <v>639</v>
      </c>
      <c r="H229" s="3" t="s">
        <v>13</v>
      </c>
      <c r="I229" s="2">
        <v>332.3</v>
      </c>
      <c r="J229" s="3" t="s">
        <v>30</v>
      </c>
      <c r="K229">
        <f t="shared" si="6"/>
        <v>2025</v>
      </c>
      <c r="L229" t="str">
        <f t="shared" si="7"/>
        <v>18-30</v>
      </c>
      <c r="M229">
        <f>Table2[[#This Row],[appointment_date]]-Table2[[#This Row],[booking_date]]</f>
        <v>155</v>
      </c>
    </row>
    <row r="230" spans="1:13" x14ac:dyDescent="0.25">
      <c r="A230" s="4">
        <v>1067</v>
      </c>
      <c r="B230" s="3" t="s">
        <v>641</v>
      </c>
      <c r="C230" s="4">
        <v>33</v>
      </c>
      <c r="D230" s="3" t="s">
        <v>37</v>
      </c>
      <c r="E230" s="5">
        <v>46020</v>
      </c>
      <c r="F230" s="5">
        <v>45441</v>
      </c>
      <c r="G230" s="3" t="s">
        <v>642</v>
      </c>
      <c r="H230" s="3" t="s">
        <v>28</v>
      </c>
      <c r="I230" s="2">
        <v>409.96</v>
      </c>
      <c r="J230" s="3" t="s">
        <v>30</v>
      </c>
      <c r="K230">
        <f t="shared" si="6"/>
        <v>2025</v>
      </c>
      <c r="L230" t="str">
        <f t="shared" si="7"/>
        <v>31-40</v>
      </c>
      <c r="M230">
        <f>Table2[[#This Row],[appointment_date]]-Table2[[#This Row],[booking_date]]</f>
        <v>579</v>
      </c>
    </row>
    <row r="231" spans="1:13" x14ac:dyDescent="0.25">
      <c r="A231" s="4">
        <v>1070</v>
      </c>
      <c r="B231" s="3" t="s">
        <v>643</v>
      </c>
      <c r="C231" s="4">
        <v>54</v>
      </c>
      <c r="D231" s="3" t="s">
        <v>68</v>
      </c>
      <c r="E231" s="5">
        <v>45831</v>
      </c>
      <c r="F231" s="5">
        <v>45528</v>
      </c>
      <c r="G231" s="3" t="s">
        <v>644</v>
      </c>
      <c r="H231" s="3" t="s">
        <v>24</v>
      </c>
      <c r="I231" s="2">
        <v>514.08000000000004</v>
      </c>
      <c r="J231" s="3" t="s">
        <v>30</v>
      </c>
      <c r="K231">
        <f t="shared" si="6"/>
        <v>2025</v>
      </c>
      <c r="L231" t="str">
        <f t="shared" si="7"/>
        <v>51-60</v>
      </c>
      <c r="M231">
        <f>Table2[[#This Row],[appointment_date]]-Table2[[#This Row],[booking_date]]</f>
        <v>303</v>
      </c>
    </row>
    <row r="232" spans="1:13" x14ac:dyDescent="0.25">
      <c r="A232" s="4">
        <v>1097</v>
      </c>
      <c r="B232" s="3" t="s">
        <v>646</v>
      </c>
      <c r="C232" s="4">
        <v>52</v>
      </c>
      <c r="D232" s="3" t="s">
        <v>68</v>
      </c>
      <c r="E232" s="5">
        <v>46031</v>
      </c>
      <c r="F232" s="5">
        <v>45875</v>
      </c>
      <c r="G232" s="3" t="s">
        <v>647</v>
      </c>
      <c r="H232" s="3" t="s">
        <v>24</v>
      </c>
      <c r="I232" s="2">
        <v>2.68</v>
      </c>
      <c r="J232" s="3" t="s">
        <v>35</v>
      </c>
      <c r="K232">
        <f t="shared" si="6"/>
        <v>2026</v>
      </c>
      <c r="L232" t="str">
        <f t="shared" si="7"/>
        <v>51-60</v>
      </c>
      <c r="M232">
        <f>Table2[[#This Row],[appointment_date]]-Table2[[#This Row],[booking_date]]</f>
        <v>156</v>
      </c>
    </row>
    <row r="233" spans="1:13" x14ac:dyDescent="0.25">
      <c r="A233" s="4">
        <v>1056</v>
      </c>
      <c r="B233" s="3" t="s">
        <v>649</v>
      </c>
      <c r="C233" s="4">
        <v>70</v>
      </c>
      <c r="D233" s="3" t="s">
        <v>37</v>
      </c>
      <c r="E233" s="5">
        <v>46017</v>
      </c>
      <c r="F233" s="5">
        <v>45882</v>
      </c>
      <c r="G233" s="3" t="s">
        <v>650</v>
      </c>
      <c r="H233" s="3" t="s">
        <v>28</v>
      </c>
      <c r="I233" s="2">
        <v>364.83</v>
      </c>
      <c r="J233" s="3" t="s">
        <v>35</v>
      </c>
      <c r="K233">
        <f t="shared" si="6"/>
        <v>2025</v>
      </c>
      <c r="L233" t="str">
        <f t="shared" si="7"/>
        <v>61-70</v>
      </c>
      <c r="M233">
        <f>Table2[[#This Row],[appointment_date]]-Table2[[#This Row],[booking_date]]</f>
        <v>135</v>
      </c>
    </row>
    <row r="234" spans="1:13" x14ac:dyDescent="0.25">
      <c r="A234" s="4">
        <v>1078</v>
      </c>
      <c r="B234" s="3" t="s">
        <v>651</v>
      </c>
      <c r="C234" s="4">
        <v>56</v>
      </c>
      <c r="D234" s="3" t="s">
        <v>37</v>
      </c>
      <c r="E234" s="5">
        <v>45743</v>
      </c>
      <c r="F234" s="5">
        <v>45432</v>
      </c>
      <c r="G234" s="3" t="s">
        <v>652</v>
      </c>
      <c r="H234" s="3" t="s">
        <v>18</v>
      </c>
      <c r="I234" s="2">
        <v>335.95</v>
      </c>
      <c r="J234" s="3" t="s">
        <v>35</v>
      </c>
      <c r="K234">
        <f t="shared" si="6"/>
        <v>2025</v>
      </c>
      <c r="L234" t="str">
        <f t="shared" si="7"/>
        <v>51-60</v>
      </c>
      <c r="M234">
        <f>Table2[[#This Row],[appointment_date]]-Table2[[#This Row],[booking_date]]</f>
        <v>311</v>
      </c>
    </row>
    <row r="235" spans="1:13" x14ac:dyDescent="0.25">
      <c r="A235" s="4">
        <v>1031</v>
      </c>
      <c r="B235" s="3" t="s">
        <v>653</v>
      </c>
      <c r="C235" s="4">
        <v>29</v>
      </c>
      <c r="D235" s="3" t="s">
        <v>37</v>
      </c>
      <c r="E235" s="5">
        <v>45874</v>
      </c>
      <c r="F235" s="5">
        <v>45562</v>
      </c>
      <c r="G235" s="3" t="s">
        <v>654</v>
      </c>
      <c r="H235" s="3" t="s">
        <v>18</v>
      </c>
      <c r="I235" s="2" t="s">
        <v>2693</v>
      </c>
      <c r="J235" s="3" t="s">
        <v>35</v>
      </c>
      <c r="K235">
        <f t="shared" si="6"/>
        <v>2025</v>
      </c>
      <c r="L235" t="str">
        <f t="shared" si="7"/>
        <v>18-30</v>
      </c>
      <c r="M235">
        <f>Table2[[#This Row],[appointment_date]]-Table2[[#This Row],[booking_date]]</f>
        <v>312</v>
      </c>
    </row>
    <row r="236" spans="1:13" x14ac:dyDescent="0.25">
      <c r="A236" s="4">
        <v>1035</v>
      </c>
      <c r="B236" s="3" t="s">
        <v>655</v>
      </c>
      <c r="C236" s="4">
        <v>80</v>
      </c>
      <c r="D236" s="3" t="s">
        <v>68</v>
      </c>
      <c r="E236" s="5">
        <v>45872</v>
      </c>
      <c r="F236" s="5">
        <v>45750</v>
      </c>
      <c r="G236" s="3" t="s">
        <v>656</v>
      </c>
      <c r="H236" s="3" t="s">
        <v>24</v>
      </c>
      <c r="I236" s="2">
        <v>434.09</v>
      </c>
      <c r="J236" s="3" t="s">
        <v>35</v>
      </c>
      <c r="K236">
        <f t="shared" si="6"/>
        <v>2025</v>
      </c>
      <c r="L236" t="str">
        <f t="shared" si="7"/>
        <v>71-80</v>
      </c>
      <c r="M236">
        <f>Table2[[#This Row],[appointment_date]]-Table2[[#This Row],[booking_date]]</f>
        <v>122</v>
      </c>
    </row>
    <row r="237" spans="1:13" x14ac:dyDescent="0.25">
      <c r="A237" s="4">
        <v>1079</v>
      </c>
      <c r="B237" s="3" t="s">
        <v>658</v>
      </c>
      <c r="C237" s="4">
        <v>24</v>
      </c>
      <c r="D237" s="3" t="s">
        <v>68</v>
      </c>
      <c r="E237" s="5">
        <v>46038</v>
      </c>
      <c r="F237" s="5">
        <v>45402</v>
      </c>
      <c r="G237" s="3" t="s">
        <v>659</v>
      </c>
      <c r="H237" s="3" t="s">
        <v>13</v>
      </c>
      <c r="I237" s="2">
        <v>3.96</v>
      </c>
      <c r="J237" s="3" t="s">
        <v>30</v>
      </c>
      <c r="K237">
        <f t="shared" si="6"/>
        <v>2026</v>
      </c>
      <c r="L237" t="str">
        <f t="shared" si="7"/>
        <v>18-30</v>
      </c>
      <c r="M237">
        <f>Table2[[#This Row],[appointment_date]]-Table2[[#This Row],[booking_date]]</f>
        <v>636</v>
      </c>
    </row>
    <row r="238" spans="1:13" x14ac:dyDescent="0.25">
      <c r="A238" s="4">
        <v>1062</v>
      </c>
      <c r="B238" s="3" t="s">
        <v>661</v>
      </c>
      <c r="C238" s="4">
        <v>20</v>
      </c>
      <c r="D238" s="3" t="s">
        <v>68</v>
      </c>
      <c r="E238" s="5">
        <v>45823</v>
      </c>
      <c r="F238" s="5">
        <v>45758</v>
      </c>
      <c r="G238" s="3" t="s">
        <v>662</v>
      </c>
      <c r="H238" s="3" t="s">
        <v>13</v>
      </c>
      <c r="I238" s="2">
        <v>383.36</v>
      </c>
      <c r="J238" s="3" t="s">
        <v>35</v>
      </c>
      <c r="K238">
        <f t="shared" si="6"/>
        <v>2025</v>
      </c>
      <c r="L238" t="str">
        <f t="shared" si="7"/>
        <v>18-30</v>
      </c>
      <c r="M238">
        <f>Table2[[#This Row],[appointment_date]]-Table2[[#This Row],[booking_date]]</f>
        <v>65</v>
      </c>
    </row>
    <row r="239" spans="1:13" x14ac:dyDescent="0.25">
      <c r="A239" s="4">
        <v>1006</v>
      </c>
      <c r="B239" s="3" t="s">
        <v>664</v>
      </c>
      <c r="C239" s="4">
        <v>56</v>
      </c>
      <c r="D239" s="3" t="s">
        <v>37</v>
      </c>
      <c r="E239" s="5">
        <v>46056</v>
      </c>
      <c r="F239" s="5">
        <v>45520</v>
      </c>
      <c r="G239" s="3" t="s">
        <v>665</v>
      </c>
      <c r="H239" s="3" t="s">
        <v>28</v>
      </c>
      <c r="I239" s="2">
        <v>320.8</v>
      </c>
      <c r="J239" s="3" t="s">
        <v>35</v>
      </c>
      <c r="K239">
        <f t="shared" si="6"/>
        <v>2026</v>
      </c>
      <c r="L239" t="str">
        <f t="shared" si="7"/>
        <v>51-60</v>
      </c>
      <c r="M239">
        <f>Table2[[#This Row],[appointment_date]]-Table2[[#This Row],[booking_date]]</f>
        <v>536</v>
      </c>
    </row>
    <row r="240" spans="1:13" x14ac:dyDescent="0.25">
      <c r="A240" s="4">
        <v>1034</v>
      </c>
      <c r="B240" s="3" t="s">
        <v>667</v>
      </c>
      <c r="C240" s="4">
        <v>60</v>
      </c>
      <c r="D240" s="3" t="s">
        <v>37</v>
      </c>
      <c r="E240" s="5">
        <v>46033</v>
      </c>
      <c r="F240" s="5">
        <v>45863</v>
      </c>
      <c r="G240" s="3" t="s">
        <v>668</v>
      </c>
      <c r="H240" s="3" t="s">
        <v>24</v>
      </c>
      <c r="I240" s="2" t="s">
        <v>2693</v>
      </c>
      <c r="J240" s="3" t="s">
        <v>30</v>
      </c>
      <c r="K240">
        <f t="shared" si="6"/>
        <v>2026</v>
      </c>
      <c r="L240" t="str">
        <f t="shared" si="7"/>
        <v>51-60</v>
      </c>
      <c r="M240">
        <f>Table2[[#This Row],[appointment_date]]-Table2[[#This Row],[booking_date]]</f>
        <v>170</v>
      </c>
    </row>
    <row r="241" spans="1:13" x14ac:dyDescent="0.25">
      <c r="A241" s="4">
        <v>1021</v>
      </c>
      <c r="B241" s="3" t="s">
        <v>669</v>
      </c>
      <c r="C241" s="4">
        <v>51</v>
      </c>
      <c r="D241" s="3" t="s">
        <v>68</v>
      </c>
      <c r="E241" s="5">
        <v>46018</v>
      </c>
      <c r="F241" s="5">
        <v>45668</v>
      </c>
      <c r="G241" s="3" t="s">
        <v>670</v>
      </c>
      <c r="H241" s="3" t="s">
        <v>28</v>
      </c>
      <c r="I241" s="2">
        <v>533.41</v>
      </c>
      <c r="J241" s="3" t="s">
        <v>30</v>
      </c>
      <c r="K241">
        <f t="shared" si="6"/>
        <v>2025</v>
      </c>
      <c r="L241" t="str">
        <f t="shared" si="7"/>
        <v>51-60</v>
      </c>
      <c r="M241">
        <f>Table2[[#This Row],[appointment_date]]-Table2[[#This Row],[booking_date]]</f>
        <v>350</v>
      </c>
    </row>
    <row r="242" spans="1:13" x14ac:dyDescent="0.25">
      <c r="A242" s="4">
        <v>1089</v>
      </c>
      <c r="B242" s="3" t="s">
        <v>672</v>
      </c>
      <c r="C242" s="4">
        <v>72</v>
      </c>
      <c r="D242" s="3" t="s">
        <v>37</v>
      </c>
      <c r="E242" s="5">
        <v>46017</v>
      </c>
      <c r="F242" s="5">
        <v>45509</v>
      </c>
      <c r="G242" s="3" t="s">
        <v>673</v>
      </c>
      <c r="H242" s="3" t="s">
        <v>24</v>
      </c>
      <c r="I242" s="2">
        <v>639.4</v>
      </c>
      <c r="J242" s="3" t="s">
        <v>35</v>
      </c>
      <c r="K242">
        <f t="shared" si="6"/>
        <v>2025</v>
      </c>
      <c r="L242" t="str">
        <f t="shared" si="7"/>
        <v>71-80</v>
      </c>
      <c r="M242">
        <f>Table2[[#This Row],[appointment_date]]-Table2[[#This Row],[booking_date]]</f>
        <v>508</v>
      </c>
    </row>
    <row r="243" spans="1:13" x14ac:dyDescent="0.25">
      <c r="A243" s="4">
        <v>1054</v>
      </c>
      <c r="B243" s="3" t="s">
        <v>675</v>
      </c>
      <c r="C243" s="4">
        <v>74</v>
      </c>
      <c r="D243" s="3" t="s">
        <v>37</v>
      </c>
      <c r="E243" s="5">
        <v>46068</v>
      </c>
      <c r="F243" s="5">
        <v>45807</v>
      </c>
      <c r="G243" s="3" t="s">
        <v>676</v>
      </c>
      <c r="H243" s="3" t="s">
        <v>24</v>
      </c>
      <c r="I243" s="2">
        <v>3.05</v>
      </c>
      <c r="J243" s="3" t="s">
        <v>30</v>
      </c>
      <c r="K243">
        <f t="shared" si="6"/>
        <v>2026</v>
      </c>
      <c r="L243" t="str">
        <f t="shared" si="7"/>
        <v>71-80</v>
      </c>
      <c r="M243">
        <f>Table2[[#This Row],[appointment_date]]-Table2[[#This Row],[booking_date]]</f>
        <v>261</v>
      </c>
    </row>
    <row r="244" spans="1:13" x14ac:dyDescent="0.25">
      <c r="A244" s="4">
        <v>1026</v>
      </c>
      <c r="B244" s="3" t="s">
        <v>678</v>
      </c>
      <c r="C244" s="4">
        <v>80</v>
      </c>
      <c r="D244" s="3" t="s">
        <v>68</v>
      </c>
      <c r="E244" s="5">
        <v>45774</v>
      </c>
      <c r="F244" s="5">
        <v>45739</v>
      </c>
      <c r="G244" s="3" t="s">
        <v>679</v>
      </c>
      <c r="H244" s="3" t="s">
        <v>28</v>
      </c>
      <c r="I244" s="2">
        <v>3.31</v>
      </c>
      <c r="J244" s="3" t="s">
        <v>35</v>
      </c>
      <c r="K244">
        <f t="shared" si="6"/>
        <v>2025</v>
      </c>
      <c r="L244" t="str">
        <f t="shared" si="7"/>
        <v>71-80</v>
      </c>
      <c r="M244">
        <f>Table2[[#This Row],[appointment_date]]-Table2[[#This Row],[booking_date]]</f>
        <v>35</v>
      </c>
    </row>
    <row r="245" spans="1:13" x14ac:dyDescent="0.25">
      <c r="A245" s="4">
        <v>1015</v>
      </c>
      <c r="B245" s="3" t="s">
        <v>681</v>
      </c>
      <c r="C245" s="4">
        <v>53</v>
      </c>
      <c r="D245" s="3" t="s">
        <v>37</v>
      </c>
      <c r="E245" s="5">
        <v>45933</v>
      </c>
      <c r="F245" s="5">
        <v>45839</v>
      </c>
      <c r="G245" s="3" t="s">
        <v>682</v>
      </c>
      <c r="H245" s="3" t="s">
        <v>18</v>
      </c>
      <c r="I245" s="2">
        <v>405</v>
      </c>
      <c r="J245" s="3" t="s">
        <v>30</v>
      </c>
      <c r="K245">
        <f t="shared" si="6"/>
        <v>2025</v>
      </c>
      <c r="L245" t="str">
        <f t="shared" si="7"/>
        <v>51-60</v>
      </c>
      <c r="M245">
        <f>Table2[[#This Row],[appointment_date]]-Table2[[#This Row],[booking_date]]</f>
        <v>94</v>
      </c>
    </row>
    <row r="246" spans="1:13" x14ac:dyDescent="0.25">
      <c r="A246" s="4">
        <v>1015</v>
      </c>
      <c r="B246" s="3" t="s">
        <v>684</v>
      </c>
      <c r="C246" s="4">
        <v>88</v>
      </c>
      <c r="D246" s="3"/>
      <c r="E246" s="5">
        <v>45949</v>
      </c>
      <c r="F246" s="5">
        <v>45813</v>
      </c>
      <c r="G246" s="3" t="s">
        <v>685</v>
      </c>
      <c r="H246" s="3" t="s">
        <v>18</v>
      </c>
      <c r="I246" s="2">
        <v>354.48</v>
      </c>
      <c r="J246" s="3" t="s">
        <v>35</v>
      </c>
      <c r="K246">
        <f t="shared" si="6"/>
        <v>2025</v>
      </c>
      <c r="L246" t="str">
        <f t="shared" si="7"/>
        <v>81-90</v>
      </c>
      <c r="M246">
        <f>Table2[[#This Row],[appointment_date]]-Table2[[#This Row],[booking_date]]</f>
        <v>136</v>
      </c>
    </row>
    <row r="247" spans="1:13" x14ac:dyDescent="0.25">
      <c r="A247" s="4">
        <v>1060</v>
      </c>
      <c r="B247" s="3" t="s">
        <v>687</v>
      </c>
      <c r="C247" s="4">
        <v>51</v>
      </c>
      <c r="D247" s="3" t="s">
        <v>37</v>
      </c>
      <c r="E247" s="5">
        <v>45844</v>
      </c>
      <c r="F247" s="5">
        <v>45765</v>
      </c>
      <c r="G247" s="3" t="s">
        <v>688</v>
      </c>
      <c r="H247" s="3" t="s">
        <v>28</v>
      </c>
      <c r="I247" s="2">
        <v>4.7699999999999996</v>
      </c>
      <c r="J247" s="3" t="s">
        <v>35</v>
      </c>
      <c r="K247">
        <f t="shared" si="6"/>
        <v>2025</v>
      </c>
      <c r="L247" t="str">
        <f t="shared" si="7"/>
        <v>51-60</v>
      </c>
      <c r="M247">
        <f>Table2[[#This Row],[appointment_date]]-Table2[[#This Row],[booking_date]]</f>
        <v>79</v>
      </c>
    </row>
    <row r="248" spans="1:13" x14ac:dyDescent="0.25">
      <c r="A248" s="4">
        <v>1003</v>
      </c>
      <c r="B248" s="3" t="s">
        <v>690</v>
      </c>
      <c r="C248" s="4">
        <v>77</v>
      </c>
      <c r="D248" s="3" t="s">
        <v>68</v>
      </c>
      <c r="E248" s="5">
        <v>45811</v>
      </c>
      <c r="F248" s="5">
        <v>45430</v>
      </c>
      <c r="G248" s="3" t="s">
        <v>691</v>
      </c>
      <c r="H248" s="3" t="s">
        <v>18</v>
      </c>
      <c r="I248" s="2">
        <v>93.73</v>
      </c>
      <c r="J248" s="3" t="s">
        <v>35</v>
      </c>
      <c r="K248">
        <f t="shared" si="6"/>
        <v>2025</v>
      </c>
      <c r="L248" t="str">
        <f t="shared" si="7"/>
        <v>71-80</v>
      </c>
      <c r="M248">
        <f>Table2[[#This Row],[appointment_date]]-Table2[[#This Row],[booking_date]]</f>
        <v>381</v>
      </c>
    </row>
    <row r="249" spans="1:13" x14ac:dyDescent="0.25">
      <c r="A249" s="4">
        <v>1022</v>
      </c>
      <c r="B249" s="3" t="s">
        <v>693</v>
      </c>
      <c r="C249" s="4">
        <v>24</v>
      </c>
      <c r="D249" s="3" t="s">
        <v>37</v>
      </c>
      <c r="E249" s="5">
        <v>45888</v>
      </c>
      <c r="F249" s="5">
        <v>45787</v>
      </c>
      <c r="G249" s="3" t="s">
        <v>694</v>
      </c>
      <c r="H249" s="3" t="s">
        <v>24</v>
      </c>
      <c r="I249" s="2">
        <v>425.91</v>
      </c>
      <c r="J249" s="3" t="s">
        <v>35</v>
      </c>
      <c r="K249">
        <f t="shared" si="6"/>
        <v>2025</v>
      </c>
      <c r="L249" t="str">
        <f t="shared" si="7"/>
        <v>18-30</v>
      </c>
      <c r="M249">
        <f>Table2[[#This Row],[appointment_date]]-Table2[[#This Row],[booking_date]]</f>
        <v>101</v>
      </c>
    </row>
    <row r="250" spans="1:13" x14ac:dyDescent="0.25">
      <c r="A250" s="4">
        <v>1093</v>
      </c>
      <c r="B250" s="3" t="s">
        <v>695</v>
      </c>
      <c r="C250" s="4">
        <v>31</v>
      </c>
      <c r="D250" s="3"/>
      <c r="E250" s="5">
        <v>45804</v>
      </c>
      <c r="F250" s="5">
        <v>45646</v>
      </c>
      <c r="G250" s="3" t="s">
        <v>696</v>
      </c>
      <c r="H250" s="3" t="s">
        <v>28</v>
      </c>
      <c r="I250" s="2">
        <v>125.12</v>
      </c>
      <c r="J250" s="3" t="s">
        <v>30</v>
      </c>
      <c r="K250">
        <f t="shared" si="6"/>
        <v>2025</v>
      </c>
      <c r="L250" t="str">
        <f t="shared" si="7"/>
        <v>31-40</v>
      </c>
      <c r="M250">
        <f>Table2[[#This Row],[appointment_date]]-Table2[[#This Row],[booking_date]]</f>
        <v>158</v>
      </c>
    </row>
    <row r="251" spans="1:13" x14ac:dyDescent="0.25">
      <c r="A251" s="4">
        <v>1089</v>
      </c>
      <c r="B251" s="3" t="s">
        <v>698</v>
      </c>
      <c r="C251" s="4">
        <v>47</v>
      </c>
      <c r="D251" s="3" t="s">
        <v>37</v>
      </c>
      <c r="E251" s="5">
        <v>46064</v>
      </c>
      <c r="F251" s="5">
        <v>45702</v>
      </c>
      <c r="G251" s="3" t="s">
        <v>699</v>
      </c>
      <c r="H251" s="3" t="s">
        <v>13</v>
      </c>
      <c r="I251" s="2">
        <v>485.94</v>
      </c>
      <c r="J251" s="3" t="s">
        <v>30</v>
      </c>
      <c r="K251">
        <f t="shared" si="6"/>
        <v>2026</v>
      </c>
      <c r="L251" t="str">
        <f t="shared" si="7"/>
        <v>41-50</v>
      </c>
      <c r="M251">
        <f>Table2[[#This Row],[appointment_date]]-Table2[[#This Row],[booking_date]]</f>
        <v>362</v>
      </c>
    </row>
    <row r="252" spans="1:13" x14ac:dyDescent="0.25">
      <c r="A252" s="4">
        <v>1094</v>
      </c>
      <c r="B252" s="3" t="s">
        <v>701</v>
      </c>
      <c r="C252" s="4">
        <v>74</v>
      </c>
      <c r="D252" s="3" t="s">
        <v>68</v>
      </c>
      <c r="E252" s="5">
        <v>45825</v>
      </c>
      <c r="F252" s="5">
        <v>45407</v>
      </c>
      <c r="G252" s="3" t="s">
        <v>702</v>
      </c>
      <c r="H252" s="3" t="s">
        <v>13</v>
      </c>
      <c r="I252" s="2">
        <v>532.29999999999995</v>
      </c>
      <c r="J252" s="3" t="s">
        <v>35</v>
      </c>
      <c r="K252">
        <f t="shared" si="6"/>
        <v>2025</v>
      </c>
      <c r="L252" t="str">
        <f t="shared" si="7"/>
        <v>71-80</v>
      </c>
      <c r="M252">
        <f>Table2[[#This Row],[appointment_date]]-Table2[[#This Row],[booking_date]]</f>
        <v>418</v>
      </c>
    </row>
    <row r="253" spans="1:13" x14ac:dyDescent="0.25">
      <c r="A253" s="4">
        <v>1016</v>
      </c>
      <c r="B253" s="3" t="s">
        <v>704</v>
      </c>
      <c r="C253" s="4">
        <v>36</v>
      </c>
      <c r="D253" s="3" t="s">
        <v>37</v>
      </c>
      <c r="E253" s="5">
        <v>45996</v>
      </c>
      <c r="F253" s="5">
        <v>45458</v>
      </c>
      <c r="G253" s="3" t="s">
        <v>705</v>
      </c>
      <c r="H253" s="3" t="s">
        <v>24</v>
      </c>
      <c r="I253" s="2">
        <v>108.6</v>
      </c>
      <c r="J253" s="3" t="s">
        <v>30</v>
      </c>
      <c r="K253">
        <f t="shared" si="6"/>
        <v>2025</v>
      </c>
      <c r="L253" t="str">
        <f t="shared" si="7"/>
        <v>31-40</v>
      </c>
      <c r="M253">
        <f>Table2[[#This Row],[appointment_date]]-Table2[[#This Row],[booking_date]]</f>
        <v>538</v>
      </c>
    </row>
    <row r="254" spans="1:13" x14ac:dyDescent="0.25">
      <c r="A254" s="4">
        <v>1045</v>
      </c>
      <c r="B254" s="3" t="s">
        <v>706</v>
      </c>
      <c r="C254" s="4">
        <v>34</v>
      </c>
      <c r="D254" s="3" t="s">
        <v>37</v>
      </c>
      <c r="E254" s="5">
        <v>45791</v>
      </c>
      <c r="F254" s="5">
        <v>45431</v>
      </c>
      <c r="G254" s="3" t="s">
        <v>707</v>
      </c>
      <c r="H254" s="3" t="s">
        <v>13</v>
      </c>
      <c r="I254" s="2">
        <v>605.22</v>
      </c>
      <c r="J254" s="3" t="s">
        <v>30</v>
      </c>
      <c r="K254">
        <f t="shared" si="6"/>
        <v>2025</v>
      </c>
      <c r="L254" t="str">
        <f t="shared" si="7"/>
        <v>31-40</v>
      </c>
      <c r="M254">
        <f>Table2[[#This Row],[appointment_date]]-Table2[[#This Row],[booking_date]]</f>
        <v>360</v>
      </c>
    </row>
    <row r="255" spans="1:13" x14ac:dyDescent="0.25">
      <c r="A255" s="4">
        <v>1036</v>
      </c>
      <c r="B255" s="3" t="s">
        <v>709</v>
      </c>
      <c r="C255" s="4">
        <v>29</v>
      </c>
      <c r="D255" s="3" t="s">
        <v>68</v>
      </c>
      <c r="E255" s="5">
        <v>46050</v>
      </c>
      <c r="F255" s="5">
        <v>45629</v>
      </c>
      <c r="G255" s="3" t="s">
        <v>710</v>
      </c>
      <c r="H255" s="3" t="s">
        <v>24</v>
      </c>
      <c r="I255" s="2">
        <v>351.72</v>
      </c>
      <c r="J255" s="3" t="s">
        <v>30</v>
      </c>
      <c r="K255">
        <f t="shared" si="6"/>
        <v>2026</v>
      </c>
      <c r="L255" t="str">
        <f t="shared" si="7"/>
        <v>18-30</v>
      </c>
      <c r="M255">
        <f>Table2[[#This Row],[appointment_date]]-Table2[[#This Row],[booking_date]]</f>
        <v>421</v>
      </c>
    </row>
    <row r="256" spans="1:13" x14ac:dyDescent="0.25">
      <c r="A256" s="4">
        <v>1031</v>
      </c>
      <c r="B256" s="3" t="s">
        <v>712</v>
      </c>
      <c r="C256" s="4">
        <v>42</v>
      </c>
      <c r="D256" s="3" t="s">
        <v>37</v>
      </c>
      <c r="E256" s="5">
        <v>45874</v>
      </c>
      <c r="F256" s="5">
        <v>45865</v>
      </c>
      <c r="G256" s="3" t="s">
        <v>713</v>
      </c>
      <c r="H256" s="3" t="s">
        <v>18</v>
      </c>
      <c r="I256" s="2">
        <v>1.46</v>
      </c>
      <c r="J256" s="3" t="s">
        <v>30</v>
      </c>
      <c r="K256">
        <f t="shared" si="6"/>
        <v>2025</v>
      </c>
      <c r="L256" t="str">
        <f t="shared" si="7"/>
        <v>41-50</v>
      </c>
      <c r="M256">
        <f>Table2[[#This Row],[appointment_date]]-Table2[[#This Row],[booking_date]]</f>
        <v>9</v>
      </c>
    </row>
    <row r="257" spans="1:13" x14ac:dyDescent="0.25">
      <c r="A257" s="4">
        <v>1097</v>
      </c>
      <c r="B257" s="3" t="s">
        <v>715</v>
      </c>
      <c r="C257" s="4">
        <v>35</v>
      </c>
      <c r="D257" s="3"/>
      <c r="E257" s="5">
        <v>45766</v>
      </c>
      <c r="F257" s="5">
        <v>45758</v>
      </c>
      <c r="G257" s="3" t="s">
        <v>716</v>
      </c>
      <c r="H257" s="3" t="s">
        <v>13</v>
      </c>
      <c r="I257" s="2">
        <v>3.95</v>
      </c>
      <c r="J257" s="3" t="s">
        <v>30</v>
      </c>
      <c r="K257">
        <f t="shared" si="6"/>
        <v>2025</v>
      </c>
      <c r="L257" t="str">
        <f t="shared" si="7"/>
        <v>31-40</v>
      </c>
      <c r="M257">
        <f>Table2[[#This Row],[appointment_date]]-Table2[[#This Row],[booking_date]]</f>
        <v>8</v>
      </c>
    </row>
    <row r="258" spans="1:13" x14ac:dyDescent="0.25">
      <c r="A258" s="4">
        <v>1062</v>
      </c>
      <c r="B258" s="3" t="s">
        <v>718</v>
      </c>
      <c r="C258" s="4">
        <v>25</v>
      </c>
      <c r="D258" s="3" t="s">
        <v>68</v>
      </c>
      <c r="E258" s="5">
        <v>45936</v>
      </c>
      <c r="F258" s="5">
        <v>45456</v>
      </c>
      <c r="G258" s="3" t="s">
        <v>719</v>
      </c>
      <c r="H258" s="3" t="s">
        <v>13</v>
      </c>
      <c r="I258" s="2">
        <v>5.1100000000000003</v>
      </c>
      <c r="J258" s="3" t="s">
        <v>30</v>
      </c>
      <c r="K258">
        <f t="shared" si="6"/>
        <v>2025</v>
      </c>
      <c r="L258" t="str">
        <f t="shared" si="7"/>
        <v>18-30</v>
      </c>
      <c r="M258">
        <f>Table2[[#This Row],[appointment_date]]-Table2[[#This Row],[booking_date]]</f>
        <v>480</v>
      </c>
    </row>
    <row r="259" spans="1:13" x14ac:dyDescent="0.25">
      <c r="A259" s="4">
        <v>1056</v>
      </c>
      <c r="B259" s="3" t="s">
        <v>721</v>
      </c>
      <c r="C259" s="4">
        <v>57</v>
      </c>
      <c r="D259" s="3" t="s">
        <v>37</v>
      </c>
      <c r="E259" s="5">
        <v>45828</v>
      </c>
      <c r="F259" s="5">
        <v>45701</v>
      </c>
      <c r="G259" s="3" t="s">
        <v>722</v>
      </c>
      <c r="H259" s="3" t="s">
        <v>24</v>
      </c>
      <c r="I259" s="2">
        <v>186.61</v>
      </c>
      <c r="J259" s="3" t="s">
        <v>35</v>
      </c>
      <c r="K259">
        <f t="shared" ref="K259:K322" si="8">YEAR(E259)</f>
        <v>2025</v>
      </c>
      <c r="L259" t="str">
        <f t="shared" ref="L259:L322" si="9">IF(C259="","",IF(C259&lt;=30,"18-30",IF(C259&lt;=40,"31-40",IF(C259&lt;=50,"41-50",IF(C259&lt;=60,"51-60",IF(C259&lt;=70,"61-70",IF(C259&lt;=80,"71-80","81-90")))))))</f>
        <v>51-60</v>
      </c>
      <c r="M259">
        <f>Table2[[#This Row],[appointment_date]]-Table2[[#This Row],[booking_date]]</f>
        <v>127</v>
      </c>
    </row>
    <row r="260" spans="1:13" x14ac:dyDescent="0.25">
      <c r="A260" s="4">
        <v>1058</v>
      </c>
      <c r="B260" s="3" t="s">
        <v>723</v>
      </c>
      <c r="C260" s="4">
        <v>19</v>
      </c>
      <c r="D260" s="3" t="s">
        <v>68</v>
      </c>
      <c r="E260" s="5">
        <v>45788</v>
      </c>
      <c r="F260" s="5">
        <v>45749</v>
      </c>
      <c r="G260" s="3" t="s">
        <v>724</v>
      </c>
      <c r="H260" s="3" t="s">
        <v>24</v>
      </c>
      <c r="I260" s="2">
        <v>116.69</v>
      </c>
      <c r="J260" s="3" t="s">
        <v>35</v>
      </c>
      <c r="K260">
        <f t="shared" si="8"/>
        <v>2025</v>
      </c>
      <c r="L260" t="str">
        <f t="shared" si="9"/>
        <v>18-30</v>
      </c>
      <c r="M260">
        <f>Table2[[#This Row],[appointment_date]]-Table2[[#This Row],[booking_date]]</f>
        <v>39</v>
      </c>
    </row>
    <row r="261" spans="1:13" x14ac:dyDescent="0.25">
      <c r="A261" s="4">
        <v>1053</v>
      </c>
      <c r="B261" s="3" t="s">
        <v>725</v>
      </c>
      <c r="C261" s="4">
        <v>30</v>
      </c>
      <c r="D261" s="3" t="s">
        <v>37</v>
      </c>
      <c r="E261" s="5">
        <v>46105</v>
      </c>
      <c r="F261" s="5">
        <v>45377</v>
      </c>
      <c r="G261" s="3" t="s">
        <v>726</v>
      </c>
      <c r="H261" s="3" t="s">
        <v>28</v>
      </c>
      <c r="I261" s="2">
        <v>244.65</v>
      </c>
      <c r="J261" s="3" t="s">
        <v>30</v>
      </c>
      <c r="K261">
        <f t="shared" si="8"/>
        <v>2026</v>
      </c>
      <c r="L261" t="str">
        <f t="shared" si="9"/>
        <v>18-30</v>
      </c>
      <c r="M261">
        <f>Table2[[#This Row],[appointment_date]]-Table2[[#This Row],[booking_date]]</f>
        <v>728</v>
      </c>
    </row>
    <row r="262" spans="1:13" x14ac:dyDescent="0.25">
      <c r="A262" s="4">
        <v>1032</v>
      </c>
      <c r="B262" s="3" t="s">
        <v>728</v>
      </c>
      <c r="C262" s="4">
        <v>43</v>
      </c>
      <c r="D262" s="3" t="s">
        <v>37</v>
      </c>
      <c r="E262" s="5">
        <v>45830</v>
      </c>
      <c r="F262" s="5">
        <v>45682</v>
      </c>
      <c r="G262" s="3" t="s">
        <v>729</v>
      </c>
      <c r="H262" s="3" t="s">
        <v>24</v>
      </c>
      <c r="I262" s="2">
        <v>286.35000000000002</v>
      </c>
      <c r="J262" s="3" t="s">
        <v>30</v>
      </c>
      <c r="K262">
        <f t="shared" si="8"/>
        <v>2025</v>
      </c>
      <c r="L262" t="str">
        <f t="shared" si="9"/>
        <v>41-50</v>
      </c>
      <c r="M262">
        <f>Table2[[#This Row],[appointment_date]]-Table2[[#This Row],[booking_date]]</f>
        <v>148</v>
      </c>
    </row>
    <row r="263" spans="1:13" x14ac:dyDescent="0.25">
      <c r="A263" s="4">
        <v>1049</v>
      </c>
      <c r="B263" s="3" t="s">
        <v>731</v>
      </c>
      <c r="C263" s="4">
        <v>79</v>
      </c>
      <c r="D263" s="3" t="s">
        <v>68</v>
      </c>
      <c r="E263" s="5">
        <v>45997</v>
      </c>
      <c r="F263" s="5">
        <v>45544</v>
      </c>
      <c r="G263" s="3" t="s">
        <v>732</v>
      </c>
      <c r="H263" s="3" t="s">
        <v>24</v>
      </c>
      <c r="I263" s="2" t="s">
        <v>2693</v>
      </c>
      <c r="J263" s="3" t="s">
        <v>30</v>
      </c>
      <c r="K263">
        <f t="shared" si="8"/>
        <v>2025</v>
      </c>
      <c r="L263" t="str">
        <f t="shared" si="9"/>
        <v>71-80</v>
      </c>
      <c r="M263">
        <f>Table2[[#This Row],[appointment_date]]-Table2[[#This Row],[booking_date]]</f>
        <v>453</v>
      </c>
    </row>
    <row r="264" spans="1:13" x14ac:dyDescent="0.25">
      <c r="A264" s="4">
        <v>1068</v>
      </c>
      <c r="B264" s="3" t="s">
        <v>733</v>
      </c>
      <c r="C264" s="4">
        <v>61</v>
      </c>
      <c r="D264" s="3" t="s">
        <v>68</v>
      </c>
      <c r="E264" s="5">
        <v>45950</v>
      </c>
      <c r="F264" s="5">
        <v>45876</v>
      </c>
      <c r="G264" s="3" t="s">
        <v>734</v>
      </c>
      <c r="H264" s="3" t="s">
        <v>24</v>
      </c>
      <c r="I264" s="2">
        <v>129.47999999999999</v>
      </c>
      <c r="J264" s="3" t="s">
        <v>30</v>
      </c>
      <c r="K264">
        <f t="shared" si="8"/>
        <v>2025</v>
      </c>
      <c r="L264" t="str">
        <f t="shared" si="9"/>
        <v>61-70</v>
      </c>
      <c r="M264">
        <f>Table2[[#This Row],[appointment_date]]-Table2[[#This Row],[booking_date]]</f>
        <v>74</v>
      </c>
    </row>
    <row r="265" spans="1:13" x14ac:dyDescent="0.25">
      <c r="A265" s="4">
        <v>1015</v>
      </c>
      <c r="B265" s="3" t="s">
        <v>735</v>
      </c>
      <c r="C265" s="4">
        <v>53</v>
      </c>
      <c r="D265" s="3" t="s">
        <v>68</v>
      </c>
      <c r="E265" s="5">
        <v>45768</v>
      </c>
      <c r="F265" s="5">
        <v>45529</v>
      </c>
      <c r="G265" s="3" t="s">
        <v>736</v>
      </c>
      <c r="H265" s="3" t="s">
        <v>28</v>
      </c>
      <c r="I265" s="2">
        <v>3.29</v>
      </c>
      <c r="J265" s="3" t="s">
        <v>30</v>
      </c>
      <c r="K265">
        <f t="shared" si="8"/>
        <v>2025</v>
      </c>
      <c r="L265" t="str">
        <f t="shared" si="9"/>
        <v>51-60</v>
      </c>
      <c r="M265">
        <f>Table2[[#This Row],[appointment_date]]-Table2[[#This Row],[booking_date]]</f>
        <v>239</v>
      </c>
    </row>
    <row r="266" spans="1:13" x14ac:dyDescent="0.25">
      <c r="A266" s="4">
        <v>1090</v>
      </c>
      <c r="B266" s="3" t="s">
        <v>738</v>
      </c>
      <c r="C266" s="4">
        <v>70</v>
      </c>
      <c r="D266" s="3" t="s">
        <v>37</v>
      </c>
      <c r="E266" s="5">
        <v>46000</v>
      </c>
      <c r="F266" s="5">
        <v>45612</v>
      </c>
      <c r="G266" s="3" t="s">
        <v>739</v>
      </c>
      <c r="H266" s="3" t="s">
        <v>18</v>
      </c>
      <c r="I266" s="2">
        <v>5.0599999999999996</v>
      </c>
      <c r="J266" s="3" t="s">
        <v>35</v>
      </c>
      <c r="K266">
        <f t="shared" si="8"/>
        <v>2025</v>
      </c>
      <c r="L266" t="str">
        <f t="shared" si="9"/>
        <v>61-70</v>
      </c>
      <c r="M266">
        <f>Table2[[#This Row],[appointment_date]]-Table2[[#This Row],[booking_date]]</f>
        <v>388</v>
      </c>
    </row>
    <row r="267" spans="1:13" x14ac:dyDescent="0.25">
      <c r="A267" s="4">
        <v>1086</v>
      </c>
      <c r="B267" s="3" t="s">
        <v>741</v>
      </c>
      <c r="C267" s="4">
        <v>72</v>
      </c>
      <c r="D267" s="3" t="s">
        <v>37</v>
      </c>
      <c r="E267" s="5">
        <v>46091</v>
      </c>
      <c r="F267" s="5">
        <v>45952</v>
      </c>
      <c r="G267" s="3" t="s">
        <v>742</v>
      </c>
      <c r="H267" s="3" t="s">
        <v>18</v>
      </c>
      <c r="I267" s="2">
        <v>536.79999999999995</v>
      </c>
      <c r="J267" s="3" t="s">
        <v>30</v>
      </c>
      <c r="K267">
        <f t="shared" si="8"/>
        <v>2026</v>
      </c>
      <c r="L267" t="str">
        <f t="shared" si="9"/>
        <v>71-80</v>
      </c>
      <c r="M267">
        <f>Table2[[#This Row],[appointment_date]]-Table2[[#This Row],[booking_date]]</f>
        <v>139</v>
      </c>
    </row>
    <row r="268" spans="1:13" x14ac:dyDescent="0.25">
      <c r="A268" s="4">
        <v>1088</v>
      </c>
      <c r="B268" s="3" t="s">
        <v>744</v>
      </c>
      <c r="C268" s="4">
        <v>49</v>
      </c>
      <c r="D268" s="3" t="s">
        <v>37</v>
      </c>
      <c r="E268" s="5">
        <v>45915</v>
      </c>
      <c r="F268" s="5">
        <v>45687</v>
      </c>
      <c r="G268" s="3" t="s">
        <v>745</v>
      </c>
      <c r="H268" s="3" t="s">
        <v>28</v>
      </c>
      <c r="I268" s="2">
        <v>321.17</v>
      </c>
      <c r="J268" s="3" t="s">
        <v>35</v>
      </c>
      <c r="K268">
        <f t="shared" si="8"/>
        <v>2025</v>
      </c>
      <c r="L268" t="str">
        <f t="shared" si="9"/>
        <v>41-50</v>
      </c>
      <c r="M268">
        <f>Table2[[#This Row],[appointment_date]]-Table2[[#This Row],[booking_date]]</f>
        <v>228</v>
      </c>
    </row>
    <row r="269" spans="1:13" x14ac:dyDescent="0.25">
      <c r="A269" s="4">
        <v>1034</v>
      </c>
      <c r="B269" s="3" t="s">
        <v>747</v>
      </c>
      <c r="C269" s="4">
        <v>44</v>
      </c>
      <c r="D269" s="3"/>
      <c r="E269" s="5">
        <v>45854</v>
      </c>
      <c r="F269" s="5">
        <v>45820</v>
      </c>
      <c r="G269" s="3" t="s">
        <v>748</v>
      </c>
      <c r="H269" s="3" t="s">
        <v>24</v>
      </c>
      <c r="I269" s="2">
        <v>417.38</v>
      </c>
      <c r="J269" s="3" t="s">
        <v>35</v>
      </c>
      <c r="K269">
        <f t="shared" si="8"/>
        <v>2025</v>
      </c>
      <c r="L269" t="str">
        <f t="shared" si="9"/>
        <v>41-50</v>
      </c>
      <c r="M269">
        <f>Table2[[#This Row],[appointment_date]]-Table2[[#This Row],[booking_date]]</f>
        <v>34</v>
      </c>
    </row>
    <row r="270" spans="1:13" x14ac:dyDescent="0.25">
      <c r="A270" s="4">
        <v>1070</v>
      </c>
      <c r="B270" s="3" t="s">
        <v>749</v>
      </c>
      <c r="C270" s="4">
        <v>68</v>
      </c>
      <c r="D270" s="3" t="s">
        <v>37</v>
      </c>
      <c r="E270" s="5">
        <v>45807</v>
      </c>
      <c r="F270" s="5">
        <v>45426</v>
      </c>
      <c r="G270" s="3" t="s">
        <v>750</v>
      </c>
      <c r="H270" s="3" t="s">
        <v>28</v>
      </c>
      <c r="I270" s="2">
        <v>4.3</v>
      </c>
      <c r="J270" s="3" t="s">
        <v>35</v>
      </c>
      <c r="K270">
        <f t="shared" si="8"/>
        <v>2025</v>
      </c>
      <c r="L270" t="str">
        <f t="shared" si="9"/>
        <v>61-70</v>
      </c>
      <c r="M270">
        <f>Table2[[#This Row],[appointment_date]]-Table2[[#This Row],[booking_date]]</f>
        <v>381</v>
      </c>
    </row>
    <row r="271" spans="1:13" x14ac:dyDescent="0.25">
      <c r="A271" s="4">
        <v>1032</v>
      </c>
      <c r="B271" s="3" t="s">
        <v>752</v>
      </c>
      <c r="C271" s="4">
        <v>88</v>
      </c>
      <c r="D271" s="3" t="s">
        <v>68</v>
      </c>
      <c r="E271" s="5">
        <v>46044</v>
      </c>
      <c r="F271" s="5">
        <v>45389</v>
      </c>
      <c r="G271" s="3" t="s">
        <v>753</v>
      </c>
      <c r="H271" s="3" t="s">
        <v>28</v>
      </c>
      <c r="I271" s="2">
        <v>1.1000000000000001</v>
      </c>
      <c r="J271" s="3" t="s">
        <v>30</v>
      </c>
      <c r="K271">
        <f t="shared" si="8"/>
        <v>2026</v>
      </c>
      <c r="L271" t="str">
        <f t="shared" si="9"/>
        <v>81-90</v>
      </c>
      <c r="M271">
        <f>Table2[[#This Row],[appointment_date]]-Table2[[#This Row],[booking_date]]</f>
        <v>655</v>
      </c>
    </row>
    <row r="272" spans="1:13" x14ac:dyDescent="0.25">
      <c r="A272" s="4">
        <v>1036</v>
      </c>
      <c r="B272" s="3" t="s">
        <v>755</v>
      </c>
      <c r="C272" s="4">
        <v>75</v>
      </c>
      <c r="D272" s="3" t="s">
        <v>68</v>
      </c>
      <c r="E272" s="5">
        <v>46076</v>
      </c>
      <c r="F272" s="5">
        <v>45581</v>
      </c>
      <c r="G272" s="3" t="s">
        <v>756</v>
      </c>
      <c r="H272" s="3" t="s">
        <v>13</v>
      </c>
      <c r="I272" s="2">
        <v>615.75</v>
      </c>
      <c r="J272" s="3" t="s">
        <v>30</v>
      </c>
      <c r="K272">
        <f t="shared" si="8"/>
        <v>2026</v>
      </c>
      <c r="L272" t="str">
        <f t="shared" si="9"/>
        <v>71-80</v>
      </c>
      <c r="M272">
        <f>Table2[[#This Row],[appointment_date]]-Table2[[#This Row],[booking_date]]</f>
        <v>495</v>
      </c>
    </row>
    <row r="273" spans="1:13" x14ac:dyDescent="0.25">
      <c r="A273" s="4">
        <v>1098</v>
      </c>
      <c r="B273" s="3" t="s">
        <v>758</v>
      </c>
      <c r="C273" s="4">
        <v>88</v>
      </c>
      <c r="D273" s="3" t="s">
        <v>37</v>
      </c>
      <c r="E273" s="5">
        <v>46067</v>
      </c>
      <c r="F273" s="5">
        <v>45653</v>
      </c>
      <c r="G273" s="3" t="s">
        <v>759</v>
      </c>
      <c r="H273" s="3" t="s">
        <v>18</v>
      </c>
      <c r="I273" s="2">
        <v>481.92</v>
      </c>
      <c r="J273" s="3" t="s">
        <v>30</v>
      </c>
      <c r="K273">
        <f t="shared" si="8"/>
        <v>2026</v>
      </c>
      <c r="L273" t="str">
        <f t="shared" si="9"/>
        <v>81-90</v>
      </c>
      <c r="M273">
        <f>Table2[[#This Row],[appointment_date]]-Table2[[#This Row],[booking_date]]</f>
        <v>414</v>
      </c>
    </row>
    <row r="274" spans="1:13" x14ac:dyDescent="0.25">
      <c r="A274" s="4">
        <v>1071</v>
      </c>
      <c r="B274" s="3" t="s">
        <v>760</v>
      </c>
      <c r="C274" s="4">
        <v>49</v>
      </c>
      <c r="D274" s="3" t="s">
        <v>68</v>
      </c>
      <c r="E274" s="5">
        <v>45801</v>
      </c>
      <c r="F274" s="5">
        <v>45636</v>
      </c>
      <c r="G274" s="3" t="s">
        <v>761</v>
      </c>
      <c r="H274" s="3" t="s">
        <v>18</v>
      </c>
      <c r="I274" s="2">
        <v>466.05</v>
      </c>
      <c r="J274" s="3" t="s">
        <v>30</v>
      </c>
      <c r="K274">
        <f t="shared" si="8"/>
        <v>2025</v>
      </c>
      <c r="L274" t="str">
        <f t="shared" si="9"/>
        <v>41-50</v>
      </c>
      <c r="M274">
        <f>Table2[[#This Row],[appointment_date]]-Table2[[#This Row],[booking_date]]</f>
        <v>165</v>
      </c>
    </row>
    <row r="275" spans="1:13" x14ac:dyDescent="0.25">
      <c r="A275" s="4">
        <v>1054</v>
      </c>
      <c r="B275" s="3" t="s">
        <v>763</v>
      </c>
      <c r="C275" s="4">
        <v>82</v>
      </c>
      <c r="D275" s="3" t="s">
        <v>68</v>
      </c>
      <c r="E275" s="5">
        <v>45984</v>
      </c>
      <c r="F275" s="5">
        <v>45633</v>
      </c>
      <c r="G275" s="3" t="s">
        <v>764</v>
      </c>
      <c r="H275" s="3" t="s">
        <v>13</v>
      </c>
      <c r="I275" s="2">
        <v>4.32</v>
      </c>
      <c r="J275" s="3" t="s">
        <v>35</v>
      </c>
      <c r="K275">
        <f t="shared" si="8"/>
        <v>2025</v>
      </c>
      <c r="L275" t="str">
        <f t="shared" si="9"/>
        <v>81-90</v>
      </c>
      <c r="M275">
        <f>Table2[[#This Row],[appointment_date]]-Table2[[#This Row],[booking_date]]</f>
        <v>351</v>
      </c>
    </row>
    <row r="276" spans="1:13" x14ac:dyDescent="0.25">
      <c r="A276" s="4">
        <v>1054</v>
      </c>
      <c r="B276" s="3" t="s">
        <v>766</v>
      </c>
      <c r="C276" s="4">
        <v>62</v>
      </c>
      <c r="D276" s="3" t="s">
        <v>68</v>
      </c>
      <c r="E276" s="5">
        <v>46038</v>
      </c>
      <c r="F276" s="5">
        <v>45852</v>
      </c>
      <c r="G276" s="3" t="s">
        <v>767</v>
      </c>
      <c r="H276" s="3" t="s">
        <v>18</v>
      </c>
      <c r="I276" s="2" t="s">
        <v>2693</v>
      </c>
      <c r="J276" s="3" t="s">
        <v>30</v>
      </c>
      <c r="K276">
        <f t="shared" si="8"/>
        <v>2026</v>
      </c>
      <c r="L276" t="str">
        <f t="shared" si="9"/>
        <v>61-70</v>
      </c>
      <c r="M276">
        <f>Table2[[#This Row],[appointment_date]]-Table2[[#This Row],[booking_date]]</f>
        <v>186</v>
      </c>
    </row>
    <row r="277" spans="1:13" x14ac:dyDescent="0.25">
      <c r="A277" s="4">
        <v>1090</v>
      </c>
      <c r="B277" s="3" t="s">
        <v>768</v>
      </c>
      <c r="C277" s="4">
        <v>55</v>
      </c>
      <c r="D277" s="3" t="s">
        <v>37</v>
      </c>
      <c r="E277" s="5">
        <v>45921</v>
      </c>
      <c r="F277" s="5">
        <v>45461</v>
      </c>
      <c r="G277" s="3" t="s">
        <v>769</v>
      </c>
      <c r="H277" s="3" t="s">
        <v>18</v>
      </c>
      <c r="I277" s="2">
        <v>202.41</v>
      </c>
      <c r="J277" s="3" t="s">
        <v>30</v>
      </c>
      <c r="K277">
        <f t="shared" si="8"/>
        <v>2025</v>
      </c>
      <c r="L277" t="str">
        <f t="shared" si="9"/>
        <v>51-60</v>
      </c>
      <c r="M277">
        <f>Table2[[#This Row],[appointment_date]]-Table2[[#This Row],[booking_date]]</f>
        <v>460</v>
      </c>
    </row>
    <row r="278" spans="1:13" x14ac:dyDescent="0.25">
      <c r="A278" s="4">
        <v>1027</v>
      </c>
      <c r="B278" s="3" t="s">
        <v>770</v>
      </c>
      <c r="C278" s="4">
        <v>83</v>
      </c>
      <c r="D278" s="3" t="s">
        <v>68</v>
      </c>
      <c r="E278" s="5">
        <v>45834</v>
      </c>
      <c r="F278" s="5">
        <v>45820</v>
      </c>
      <c r="G278" s="3" t="s">
        <v>771</v>
      </c>
      <c r="H278" s="3" t="s">
        <v>24</v>
      </c>
      <c r="I278" s="2">
        <v>225.1</v>
      </c>
      <c r="J278" s="3" t="s">
        <v>35</v>
      </c>
      <c r="K278">
        <f t="shared" si="8"/>
        <v>2025</v>
      </c>
      <c r="L278" t="str">
        <f t="shared" si="9"/>
        <v>81-90</v>
      </c>
      <c r="M278">
        <f>Table2[[#This Row],[appointment_date]]-Table2[[#This Row],[booking_date]]</f>
        <v>14</v>
      </c>
    </row>
    <row r="279" spans="1:13" x14ac:dyDescent="0.25">
      <c r="A279" s="4">
        <v>1017</v>
      </c>
      <c r="B279" s="3" t="s">
        <v>772</v>
      </c>
      <c r="C279" s="4">
        <v>86</v>
      </c>
      <c r="D279" s="3" t="s">
        <v>37</v>
      </c>
      <c r="E279" s="5">
        <v>45805</v>
      </c>
      <c r="F279" s="5">
        <v>45483</v>
      </c>
      <c r="G279" s="3" t="s">
        <v>773</v>
      </c>
      <c r="H279" s="3" t="s">
        <v>13</v>
      </c>
      <c r="I279" s="2" t="s">
        <v>2693</v>
      </c>
      <c r="J279" s="3" t="s">
        <v>35</v>
      </c>
      <c r="K279">
        <f t="shared" si="8"/>
        <v>2025</v>
      </c>
      <c r="L279" t="str">
        <f t="shared" si="9"/>
        <v>81-90</v>
      </c>
      <c r="M279">
        <f>Table2[[#This Row],[appointment_date]]-Table2[[#This Row],[booking_date]]</f>
        <v>322</v>
      </c>
    </row>
    <row r="280" spans="1:13" x14ac:dyDescent="0.25">
      <c r="A280" s="4">
        <v>1027</v>
      </c>
      <c r="B280" s="3" t="s">
        <v>774</v>
      </c>
      <c r="C280" s="4">
        <v>77</v>
      </c>
      <c r="D280" s="3" t="s">
        <v>37</v>
      </c>
      <c r="E280" s="5">
        <v>45919</v>
      </c>
      <c r="F280" s="5">
        <v>45524</v>
      </c>
      <c r="G280" s="3" t="s">
        <v>775</v>
      </c>
      <c r="H280" s="3" t="s">
        <v>13</v>
      </c>
      <c r="I280" s="2">
        <v>448.01</v>
      </c>
      <c r="J280" s="3" t="s">
        <v>35</v>
      </c>
      <c r="K280">
        <f t="shared" si="8"/>
        <v>2025</v>
      </c>
      <c r="L280" t="str">
        <f t="shared" si="9"/>
        <v>71-80</v>
      </c>
      <c r="M280">
        <f>Table2[[#This Row],[appointment_date]]-Table2[[#This Row],[booking_date]]</f>
        <v>395</v>
      </c>
    </row>
    <row r="281" spans="1:13" x14ac:dyDescent="0.25">
      <c r="A281" s="4">
        <v>1026</v>
      </c>
      <c r="B281" s="3" t="s">
        <v>777</v>
      </c>
      <c r="C281" s="4">
        <v>47</v>
      </c>
      <c r="D281" s="3" t="s">
        <v>37</v>
      </c>
      <c r="E281" s="5">
        <v>46028</v>
      </c>
      <c r="F281" s="5">
        <v>45576</v>
      </c>
      <c r="G281" s="3" t="s">
        <v>778</v>
      </c>
      <c r="H281" s="3" t="s">
        <v>24</v>
      </c>
      <c r="I281" s="2">
        <v>400.52</v>
      </c>
      <c r="J281" s="3" t="s">
        <v>35</v>
      </c>
      <c r="K281">
        <f t="shared" si="8"/>
        <v>2026</v>
      </c>
      <c r="L281" t="str">
        <f t="shared" si="9"/>
        <v>41-50</v>
      </c>
      <c r="M281">
        <f>Table2[[#This Row],[appointment_date]]-Table2[[#This Row],[booking_date]]</f>
        <v>452</v>
      </c>
    </row>
    <row r="282" spans="1:13" x14ac:dyDescent="0.25">
      <c r="A282" s="4">
        <v>1080</v>
      </c>
      <c r="B282" s="3" t="s">
        <v>779</v>
      </c>
      <c r="C282" s="4">
        <v>69</v>
      </c>
      <c r="D282" s="3" t="s">
        <v>68</v>
      </c>
      <c r="E282" s="5">
        <v>45945</v>
      </c>
      <c r="F282" s="5">
        <v>45819</v>
      </c>
      <c r="G282" s="3" t="s">
        <v>780</v>
      </c>
      <c r="H282" s="3" t="s">
        <v>28</v>
      </c>
      <c r="I282" s="2">
        <v>203.09</v>
      </c>
      <c r="J282" s="3" t="s">
        <v>30</v>
      </c>
      <c r="K282">
        <f t="shared" si="8"/>
        <v>2025</v>
      </c>
      <c r="L282" t="str">
        <f t="shared" si="9"/>
        <v>61-70</v>
      </c>
      <c r="M282">
        <f>Table2[[#This Row],[appointment_date]]-Table2[[#This Row],[booking_date]]</f>
        <v>126</v>
      </c>
    </row>
    <row r="283" spans="1:13" x14ac:dyDescent="0.25">
      <c r="A283" s="4">
        <v>1039</v>
      </c>
      <c r="B283" s="3" t="s">
        <v>782</v>
      </c>
      <c r="C283" s="4">
        <v>40</v>
      </c>
      <c r="D283" s="3" t="s">
        <v>37</v>
      </c>
      <c r="E283" s="5">
        <v>45903</v>
      </c>
      <c r="F283" s="5">
        <v>45390</v>
      </c>
      <c r="G283" s="3" t="s">
        <v>783</v>
      </c>
      <c r="H283" s="3" t="s">
        <v>13</v>
      </c>
      <c r="I283" s="2">
        <v>173.24</v>
      </c>
      <c r="J283" s="3" t="s">
        <v>35</v>
      </c>
      <c r="K283">
        <f t="shared" si="8"/>
        <v>2025</v>
      </c>
      <c r="L283" t="str">
        <f t="shared" si="9"/>
        <v>31-40</v>
      </c>
      <c r="M283">
        <f>Table2[[#This Row],[appointment_date]]-Table2[[#This Row],[booking_date]]</f>
        <v>513</v>
      </c>
    </row>
    <row r="284" spans="1:13" x14ac:dyDescent="0.25">
      <c r="A284" s="4">
        <v>1059</v>
      </c>
      <c r="B284" s="3" t="s">
        <v>785</v>
      </c>
      <c r="C284" s="4">
        <v>32</v>
      </c>
      <c r="D284" s="3" t="s">
        <v>68</v>
      </c>
      <c r="E284" s="5">
        <v>46092</v>
      </c>
      <c r="F284" s="5">
        <v>45861</v>
      </c>
      <c r="G284" s="3" t="s">
        <v>786</v>
      </c>
      <c r="H284" s="3" t="s">
        <v>28</v>
      </c>
      <c r="I284" s="2">
        <v>300.70999999999998</v>
      </c>
      <c r="J284" s="3" t="s">
        <v>35</v>
      </c>
      <c r="K284">
        <f t="shared" si="8"/>
        <v>2026</v>
      </c>
      <c r="L284" t="str">
        <f t="shared" si="9"/>
        <v>31-40</v>
      </c>
      <c r="M284">
        <f>Table2[[#This Row],[appointment_date]]-Table2[[#This Row],[booking_date]]</f>
        <v>231</v>
      </c>
    </row>
    <row r="285" spans="1:13" x14ac:dyDescent="0.25">
      <c r="A285" s="4">
        <v>1043</v>
      </c>
      <c r="B285" s="3" t="s">
        <v>787</v>
      </c>
      <c r="C285" s="4">
        <v>66</v>
      </c>
      <c r="D285" s="3" t="s">
        <v>68</v>
      </c>
      <c r="E285" s="5">
        <v>45983</v>
      </c>
      <c r="F285" s="5">
        <v>45907</v>
      </c>
      <c r="G285" s="3" t="s">
        <v>788</v>
      </c>
      <c r="H285" s="3" t="s">
        <v>24</v>
      </c>
      <c r="I285" s="2">
        <v>221.56</v>
      </c>
      <c r="J285" s="3" t="s">
        <v>35</v>
      </c>
      <c r="K285">
        <f t="shared" si="8"/>
        <v>2025</v>
      </c>
      <c r="L285" t="str">
        <f t="shared" si="9"/>
        <v>61-70</v>
      </c>
      <c r="M285">
        <f>Table2[[#This Row],[appointment_date]]-Table2[[#This Row],[booking_date]]</f>
        <v>76</v>
      </c>
    </row>
    <row r="286" spans="1:13" x14ac:dyDescent="0.25">
      <c r="A286" s="4">
        <v>1066</v>
      </c>
      <c r="B286" s="3" t="s">
        <v>790</v>
      </c>
      <c r="C286" s="4">
        <v>28</v>
      </c>
      <c r="D286" s="3" t="s">
        <v>68</v>
      </c>
      <c r="E286" s="5">
        <v>45910</v>
      </c>
      <c r="F286" s="5">
        <v>45768</v>
      </c>
      <c r="G286" s="3" t="s">
        <v>791</v>
      </c>
      <c r="H286" s="3" t="s">
        <v>13</v>
      </c>
      <c r="I286" s="2">
        <v>475.91</v>
      </c>
      <c r="J286" s="3" t="s">
        <v>35</v>
      </c>
      <c r="K286">
        <f t="shared" si="8"/>
        <v>2025</v>
      </c>
      <c r="L286" t="str">
        <f t="shared" si="9"/>
        <v>18-30</v>
      </c>
      <c r="M286">
        <f>Table2[[#This Row],[appointment_date]]-Table2[[#This Row],[booking_date]]</f>
        <v>142</v>
      </c>
    </row>
    <row r="287" spans="1:13" x14ac:dyDescent="0.25">
      <c r="A287" s="4">
        <v>1040</v>
      </c>
      <c r="B287" s="3" t="s">
        <v>793</v>
      </c>
      <c r="C287" s="4">
        <v>35</v>
      </c>
      <c r="D287" s="3" t="s">
        <v>68</v>
      </c>
      <c r="E287" s="5">
        <v>45888</v>
      </c>
      <c r="F287" s="5">
        <v>45823</v>
      </c>
      <c r="G287" s="3" t="s">
        <v>794</v>
      </c>
      <c r="H287" s="3" t="s">
        <v>28</v>
      </c>
      <c r="I287" s="2">
        <v>5.04</v>
      </c>
      <c r="J287" s="3" t="s">
        <v>30</v>
      </c>
      <c r="K287">
        <f t="shared" si="8"/>
        <v>2025</v>
      </c>
      <c r="L287" t="str">
        <f t="shared" si="9"/>
        <v>31-40</v>
      </c>
      <c r="M287">
        <f>Table2[[#This Row],[appointment_date]]-Table2[[#This Row],[booking_date]]</f>
        <v>65</v>
      </c>
    </row>
    <row r="288" spans="1:13" x14ac:dyDescent="0.25">
      <c r="A288" s="4">
        <v>1090</v>
      </c>
      <c r="B288" s="3" t="s">
        <v>796</v>
      </c>
      <c r="C288" s="4">
        <v>25</v>
      </c>
      <c r="D288" s="3" t="s">
        <v>37</v>
      </c>
      <c r="E288" s="5">
        <v>45974</v>
      </c>
      <c r="F288" s="5">
        <v>45639</v>
      </c>
      <c r="G288" s="3" t="s">
        <v>797</v>
      </c>
      <c r="H288" s="3" t="s">
        <v>28</v>
      </c>
      <c r="I288" s="2">
        <v>95.28</v>
      </c>
      <c r="J288" s="3" t="s">
        <v>35</v>
      </c>
      <c r="K288">
        <f t="shared" si="8"/>
        <v>2025</v>
      </c>
      <c r="L288" t="str">
        <f t="shared" si="9"/>
        <v>18-30</v>
      </c>
      <c r="M288">
        <f>Table2[[#This Row],[appointment_date]]-Table2[[#This Row],[booking_date]]</f>
        <v>335</v>
      </c>
    </row>
    <row r="289" spans="1:13" x14ac:dyDescent="0.25">
      <c r="A289" s="4">
        <v>1003</v>
      </c>
      <c r="B289" s="3" t="s">
        <v>799</v>
      </c>
      <c r="C289" s="4">
        <v>81</v>
      </c>
      <c r="D289" s="3" t="s">
        <v>37</v>
      </c>
      <c r="E289" s="5">
        <v>45799</v>
      </c>
      <c r="F289" s="5">
        <v>45397</v>
      </c>
      <c r="G289" s="3" t="s">
        <v>800</v>
      </c>
      <c r="H289" s="3" t="s">
        <v>24</v>
      </c>
      <c r="I289" s="2">
        <v>278.86</v>
      </c>
      <c r="J289" s="3" t="s">
        <v>35</v>
      </c>
      <c r="K289">
        <f t="shared" si="8"/>
        <v>2025</v>
      </c>
      <c r="L289" t="str">
        <f t="shared" si="9"/>
        <v>81-90</v>
      </c>
      <c r="M289">
        <f>Table2[[#This Row],[appointment_date]]-Table2[[#This Row],[booking_date]]</f>
        <v>402</v>
      </c>
    </row>
    <row r="290" spans="1:13" x14ac:dyDescent="0.25">
      <c r="A290" s="4">
        <v>1054</v>
      </c>
      <c r="B290" s="3" t="s">
        <v>802</v>
      </c>
      <c r="C290" s="4">
        <v>30</v>
      </c>
      <c r="D290" s="3" t="s">
        <v>68</v>
      </c>
      <c r="E290" s="5">
        <v>46075</v>
      </c>
      <c r="F290" s="5">
        <v>45842</v>
      </c>
      <c r="G290" s="3" t="s">
        <v>803</v>
      </c>
      <c r="H290" s="3" t="s">
        <v>28</v>
      </c>
      <c r="I290" s="2">
        <v>318.39</v>
      </c>
      <c r="J290" s="3" t="s">
        <v>30</v>
      </c>
      <c r="K290">
        <f t="shared" si="8"/>
        <v>2026</v>
      </c>
      <c r="L290" t="str">
        <f t="shared" si="9"/>
        <v>18-30</v>
      </c>
      <c r="M290">
        <f>Table2[[#This Row],[appointment_date]]-Table2[[#This Row],[booking_date]]</f>
        <v>233</v>
      </c>
    </row>
    <row r="291" spans="1:13" x14ac:dyDescent="0.25">
      <c r="A291" s="4">
        <v>1003</v>
      </c>
      <c r="B291" s="3" t="s">
        <v>805</v>
      </c>
      <c r="C291" s="4">
        <v>41</v>
      </c>
      <c r="D291" s="3" t="s">
        <v>37</v>
      </c>
      <c r="E291" s="5">
        <v>45791</v>
      </c>
      <c r="F291" s="5">
        <v>45387</v>
      </c>
      <c r="G291" s="3" t="s">
        <v>467</v>
      </c>
      <c r="H291" s="3" t="s">
        <v>28</v>
      </c>
      <c r="I291" s="2">
        <v>4.3899999999999997</v>
      </c>
      <c r="J291" s="3" t="s">
        <v>30</v>
      </c>
      <c r="K291">
        <f t="shared" si="8"/>
        <v>2025</v>
      </c>
      <c r="L291" t="str">
        <f t="shared" si="9"/>
        <v>41-50</v>
      </c>
      <c r="M291">
        <f>Table2[[#This Row],[appointment_date]]-Table2[[#This Row],[booking_date]]</f>
        <v>404</v>
      </c>
    </row>
    <row r="292" spans="1:13" x14ac:dyDescent="0.25">
      <c r="A292" s="4">
        <v>1011</v>
      </c>
      <c r="B292" s="3" t="s">
        <v>807</v>
      </c>
      <c r="C292" s="4">
        <v>54</v>
      </c>
      <c r="D292" s="3" t="s">
        <v>37</v>
      </c>
      <c r="E292" s="5">
        <v>46066</v>
      </c>
      <c r="F292" s="5">
        <v>45602</v>
      </c>
      <c r="G292" s="3" t="s">
        <v>808</v>
      </c>
      <c r="H292" s="3" t="s">
        <v>18</v>
      </c>
      <c r="I292" s="2">
        <v>364.96</v>
      </c>
      <c r="J292" s="3" t="s">
        <v>30</v>
      </c>
      <c r="K292">
        <f t="shared" si="8"/>
        <v>2026</v>
      </c>
      <c r="L292" t="str">
        <f t="shared" si="9"/>
        <v>51-60</v>
      </c>
      <c r="M292">
        <f>Table2[[#This Row],[appointment_date]]-Table2[[#This Row],[booking_date]]</f>
        <v>464</v>
      </c>
    </row>
    <row r="293" spans="1:13" x14ac:dyDescent="0.25">
      <c r="A293" s="4">
        <v>1029</v>
      </c>
      <c r="B293" s="3" t="s">
        <v>810</v>
      </c>
      <c r="C293" s="4">
        <v>30</v>
      </c>
      <c r="D293" s="3" t="s">
        <v>37</v>
      </c>
      <c r="E293" s="5">
        <v>45857</v>
      </c>
      <c r="F293" s="5">
        <v>45789</v>
      </c>
      <c r="G293" s="3" t="s">
        <v>811</v>
      </c>
      <c r="H293" s="3" t="s">
        <v>18</v>
      </c>
      <c r="I293" s="2">
        <v>451.11</v>
      </c>
      <c r="J293" s="3" t="s">
        <v>30</v>
      </c>
      <c r="K293">
        <f t="shared" si="8"/>
        <v>2025</v>
      </c>
      <c r="L293" t="str">
        <f t="shared" si="9"/>
        <v>18-30</v>
      </c>
      <c r="M293">
        <f>Table2[[#This Row],[appointment_date]]-Table2[[#This Row],[booking_date]]</f>
        <v>68</v>
      </c>
    </row>
    <row r="294" spans="1:13" x14ac:dyDescent="0.25">
      <c r="A294" s="4">
        <v>1051</v>
      </c>
      <c r="B294" s="3" t="s">
        <v>812</v>
      </c>
      <c r="C294" s="4">
        <v>53</v>
      </c>
      <c r="D294" s="3" t="s">
        <v>37</v>
      </c>
      <c r="E294" s="5">
        <v>45837</v>
      </c>
      <c r="F294" s="5">
        <v>45548</v>
      </c>
      <c r="G294" s="3" t="s">
        <v>813</v>
      </c>
      <c r="H294" s="3" t="s">
        <v>24</v>
      </c>
      <c r="I294" s="2">
        <v>553.79999999999995</v>
      </c>
      <c r="J294" s="3" t="s">
        <v>30</v>
      </c>
      <c r="K294">
        <f t="shared" si="8"/>
        <v>2025</v>
      </c>
      <c r="L294" t="str">
        <f t="shared" si="9"/>
        <v>51-60</v>
      </c>
      <c r="M294">
        <f>Table2[[#This Row],[appointment_date]]-Table2[[#This Row],[booking_date]]</f>
        <v>289</v>
      </c>
    </row>
    <row r="295" spans="1:13" x14ac:dyDescent="0.25">
      <c r="A295" s="4">
        <v>1041</v>
      </c>
      <c r="B295" s="3" t="s">
        <v>815</v>
      </c>
      <c r="C295" s="4">
        <v>65</v>
      </c>
      <c r="D295" s="3" t="s">
        <v>68</v>
      </c>
      <c r="E295" s="5">
        <v>45958</v>
      </c>
      <c r="F295" s="5">
        <v>45887</v>
      </c>
      <c r="G295" s="3" t="s">
        <v>816</v>
      </c>
      <c r="H295" s="3" t="s">
        <v>24</v>
      </c>
      <c r="I295" s="2">
        <v>339.83</v>
      </c>
      <c r="J295" s="3" t="s">
        <v>30</v>
      </c>
      <c r="K295">
        <f t="shared" si="8"/>
        <v>2025</v>
      </c>
      <c r="L295" t="str">
        <f t="shared" si="9"/>
        <v>61-70</v>
      </c>
      <c r="M295">
        <f>Table2[[#This Row],[appointment_date]]-Table2[[#This Row],[booking_date]]</f>
        <v>71</v>
      </c>
    </row>
    <row r="296" spans="1:13" x14ac:dyDescent="0.25">
      <c r="A296" s="4">
        <v>1004</v>
      </c>
      <c r="B296" s="3" t="s">
        <v>818</v>
      </c>
      <c r="C296" s="4">
        <v>64</v>
      </c>
      <c r="D296" s="3"/>
      <c r="E296" s="5">
        <v>46093</v>
      </c>
      <c r="F296" s="5">
        <v>45447</v>
      </c>
      <c r="G296" s="3" t="s">
        <v>819</v>
      </c>
      <c r="H296" s="3" t="s">
        <v>28</v>
      </c>
      <c r="I296" s="2">
        <v>124.85</v>
      </c>
      <c r="J296" s="3" t="s">
        <v>35</v>
      </c>
      <c r="K296">
        <f t="shared" si="8"/>
        <v>2026</v>
      </c>
      <c r="L296" t="str">
        <f t="shared" si="9"/>
        <v>61-70</v>
      </c>
      <c r="M296">
        <f>Table2[[#This Row],[appointment_date]]-Table2[[#This Row],[booking_date]]</f>
        <v>646</v>
      </c>
    </row>
    <row r="297" spans="1:13" x14ac:dyDescent="0.25">
      <c r="A297" s="4">
        <v>1054</v>
      </c>
      <c r="B297" s="3" t="s">
        <v>820</v>
      </c>
      <c r="C297" s="4">
        <v>78</v>
      </c>
      <c r="D297" s="3" t="s">
        <v>68</v>
      </c>
      <c r="E297" s="5">
        <v>46016</v>
      </c>
      <c r="F297" s="5">
        <v>45639</v>
      </c>
      <c r="G297" s="3" t="s">
        <v>821</v>
      </c>
      <c r="H297" s="3" t="s">
        <v>24</v>
      </c>
      <c r="I297" s="2">
        <v>370.37</v>
      </c>
      <c r="J297" s="3" t="s">
        <v>30</v>
      </c>
      <c r="K297">
        <f t="shared" si="8"/>
        <v>2025</v>
      </c>
      <c r="L297" t="str">
        <f t="shared" si="9"/>
        <v>71-80</v>
      </c>
      <c r="M297">
        <f>Table2[[#This Row],[appointment_date]]-Table2[[#This Row],[booking_date]]</f>
        <v>377</v>
      </c>
    </row>
    <row r="298" spans="1:13" x14ac:dyDescent="0.25">
      <c r="A298" s="4">
        <v>1006</v>
      </c>
      <c r="B298" s="3" t="s">
        <v>822</v>
      </c>
      <c r="C298" s="4">
        <v>63</v>
      </c>
      <c r="D298" s="3" t="s">
        <v>68</v>
      </c>
      <c r="E298" s="5">
        <v>46004</v>
      </c>
      <c r="F298" s="5">
        <v>45721</v>
      </c>
      <c r="G298" s="3" t="s">
        <v>823</v>
      </c>
      <c r="H298" s="3" t="s">
        <v>24</v>
      </c>
      <c r="I298" s="2">
        <v>4.59</v>
      </c>
      <c r="J298" s="3" t="s">
        <v>30</v>
      </c>
      <c r="K298">
        <f t="shared" si="8"/>
        <v>2025</v>
      </c>
      <c r="L298" t="str">
        <f t="shared" si="9"/>
        <v>61-70</v>
      </c>
      <c r="M298">
        <f>Table2[[#This Row],[appointment_date]]-Table2[[#This Row],[booking_date]]</f>
        <v>283</v>
      </c>
    </row>
    <row r="299" spans="1:13" x14ac:dyDescent="0.25">
      <c r="A299" s="4">
        <v>1076</v>
      </c>
      <c r="B299" s="3" t="s">
        <v>825</v>
      </c>
      <c r="C299" s="4">
        <v>23</v>
      </c>
      <c r="D299" s="3" t="s">
        <v>68</v>
      </c>
      <c r="E299" s="5">
        <v>45935</v>
      </c>
      <c r="F299" s="5">
        <v>45736</v>
      </c>
      <c r="G299" s="3" t="s">
        <v>826</v>
      </c>
      <c r="H299" s="3" t="s">
        <v>28</v>
      </c>
      <c r="I299" s="2" t="s">
        <v>2693</v>
      </c>
      <c r="J299" s="3" t="s">
        <v>30</v>
      </c>
      <c r="K299">
        <f t="shared" si="8"/>
        <v>2025</v>
      </c>
      <c r="L299" t="str">
        <f t="shared" si="9"/>
        <v>18-30</v>
      </c>
      <c r="M299">
        <f>Table2[[#This Row],[appointment_date]]-Table2[[#This Row],[booking_date]]</f>
        <v>199</v>
      </c>
    </row>
    <row r="300" spans="1:13" x14ac:dyDescent="0.25">
      <c r="A300" s="4">
        <v>1054</v>
      </c>
      <c r="B300" s="3" t="s">
        <v>827</v>
      </c>
      <c r="C300" s="4">
        <v>70</v>
      </c>
      <c r="D300" s="3" t="s">
        <v>37</v>
      </c>
      <c r="E300" s="5">
        <v>45964</v>
      </c>
      <c r="F300" s="5">
        <v>45824</v>
      </c>
      <c r="G300" s="3" t="s">
        <v>828</v>
      </c>
      <c r="H300" s="3" t="s">
        <v>13</v>
      </c>
      <c r="I300" s="2">
        <v>307.47000000000003</v>
      </c>
      <c r="J300" s="3" t="s">
        <v>35</v>
      </c>
      <c r="K300">
        <f t="shared" si="8"/>
        <v>2025</v>
      </c>
      <c r="L300" t="str">
        <f t="shared" si="9"/>
        <v>61-70</v>
      </c>
      <c r="M300">
        <f>Table2[[#This Row],[appointment_date]]-Table2[[#This Row],[booking_date]]</f>
        <v>140</v>
      </c>
    </row>
    <row r="301" spans="1:13" x14ac:dyDescent="0.25">
      <c r="A301" s="4">
        <v>1021</v>
      </c>
      <c r="B301" s="3" t="s">
        <v>830</v>
      </c>
      <c r="C301" s="4">
        <v>54</v>
      </c>
      <c r="D301" s="3" t="s">
        <v>68</v>
      </c>
      <c r="E301" s="5">
        <v>45920</v>
      </c>
      <c r="F301" s="5">
        <v>45467</v>
      </c>
      <c r="G301" s="3" t="s">
        <v>831</v>
      </c>
      <c r="H301" s="3" t="s">
        <v>13</v>
      </c>
      <c r="I301" s="2">
        <v>1.31</v>
      </c>
      <c r="J301" s="3" t="s">
        <v>30</v>
      </c>
      <c r="K301">
        <f t="shared" si="8"/>
        <v>2025</v>
      </c>
      <c r="L301" t="str">
        <f t="shared" si="9"/>
        <v>51-60</v>
      </c>
      <c r="M301">
        <f>Table2[[#This Row],[appointment_date]]-Table2[[#This Row],[booking_date]]</f>
        <v>453</v>
      </c>
    </row>
    <row r="302" spans="1:13" x14ac:dyDescent="0.25">
      <c r="A302" s="4">
        <v>1015</v>
      </c>
      <c r="B302" s="3" t="s">
        <v>833</v>
      </c>
      <c r="C302" s="4">
        <v>50</v>
      </c>
      <c r="D302" s="3" t="s">
        <v>37</v>
      </c>
      <c r="E302" s="5">
        <v>45894</v>
      </c>
      <c r="F302" s="5">
        <v>45461</v>
      </c>
      <c r="G302" s="3" t="s">
        <v>834</v>
      </c>
      <c r="H302" s="3" t="s">
        <v>24</v>
      </c>
      <c r="I302" s="2">
        <v>63.38</v>
      </c>
      <c r="J302" s="3" t="s">
        <v>35</v>
      </c>
      <c r="K302">
        <f t="shared" si="8"/>
        <v>2025</v>
      </c>
      <c r="L302" t="str">
        <f t="shared" si="9"/>
        <v>41-50</v>
      </c>
      <c r="M302">
        <f>Table2[[#This Row],[appointment_date]]-Table2[[#This Row],[booking_date]]</f>
        <v>433</v>
      </c>
    </row>
    <row r="303" spans="1:13" x14ac:dyDescent="0.25">
      <c r="A303" s="4">
        <v>1014</v>
      </c>
      <c r="B303" s="3" t="s">
        <v>835</v>
      </c>
      <c r="C303" s="4">
        <v>79</v>
      </c>
      <c r="D303" s="3" t="s">
        <v>37</v>
      </c>
      <c r="E303" s="5">
        <v>46050</v>
      </c>
      <c r="F303" s="5">
        <v>45385</v>
      </c>
      <c r="G303" s="3" t="s">
        <v>836</v>
      </c>
      <c r="H303" s="3" t="s">
        <v>24</v>
      </c>
      <c r="I303" s="2">
        <v>3.75</v>
      </c>
      <c r="J303" s="3" t="s">
        <v>35</v>
      </c>
      <c r="K303">
        <f t="shared" si="8"/>
        <v>2026</v>
      </c>
      <c r="L303" t="str">
        <f t="shared" si="9"/>
        <v>71-80</v>
      </c>
      <c r="M303">
        <f>Table2[[#This Row],[appointment_date]]-Table2[[#This Row],[booking_date]]</f>
        <v>665</v>
      </c>
    </row>
    <row r="304" spans="1:13" x14ac:dyDescent="0.25">
      <c r="A304" s="4">
        <v>1088</v>
      </c>
      <c r="B304" s="3" t="s">
        <v>838</v>
      </c>
      <c r="C304" s="4">
        <v>83</v>
      </c>
      <c r="D304" s="3" t="s">
        <v>68</v>
      </c>
      <c r="E304" s="5">
        <v>46025</v>
      </c>
      <c r="F304" s="5">
        <v>45647</v>
      </c>
      <c r="G304" s="3" t="s">
        <v>839</v>
      </c>
      <c r="H304" s="3" t="s">
        <v>18</v>
      </c>
      <c r="I304" s="2">
        <v>483.19</v>
      </c>
      <c r="J304" s="3" t="s">
        <v>35</v>
      </c>
      <c r="K304">
        <f t="shared" si="8"/>
        <v>2026</v>
      </c>
      <c r="L304" t="str">
        <f t="shared" si="9"/>
        <v>81-90</v>
      </c>
      <c r="M304">
        <f>Table2[[#This Row],[appointment_date]]-Table2[[#This Row],[booking_date]]</f>
        <v>378</v>
      </c>
    </row>
    <row r="305" spans="1:13" x14ac:dyDescent="0.25">
      <c r="A305" s="4">
        <v>1034</v>
      </c>
      <c r="B305" s="3" t="s">
        <v>840</v>
      </c>
      <c r="C305" s="4">
        <v>37</v>
      </c>
      <c r="D305" s="3" t="s">
        <v>37</v>
      </c>
      <c r="E305" s="5">
        <v>45939</v>
      </c>
      <c r="F305" s="5">
        <v>45752</v>
      </c>
      <c r="G305" s="3" t="s">
        <v>841</v>
      </c>
      <c r="H305" s="3" t="s">
        <v>24</v>
      </c>
      <c r="I305" s="2">
        <v>416.07</v>
      </c>
      <c r="J305" s="3" t="s">
        <v>30</v>
      </c>
      <c r="K305">
        <f t="shared" si="8"/>
        <v>2025</v>
      </c>
      <c r="L305" t="str">
        <f t="shared" si="9"/>
        <v>31-40</v>
      </c>
      <c r="M305">
        <f>Table2[[#This Row],[appointment_date]]-Table2[[#This Row],[booking_date]]</f>
        <v>187</v>
      </c>
    </row>
    <row r="306" spans="1:13" x14ac:dyDescent="0.25">
      <c r="A306" s="4">
        <v>1020</v>
      </c>
      <c r="B306" s="3" t="s">
        <v>843</v>
      </c>
      <c r="C306" s="4">
        <v>40</v>
      </c>
      <c r="D306" s="3" t="s">
        <v>37</v>
      </c>
      <c r="E306" s="5">
        <v>46036</v>
      </c>
      <c r="F306" s="5">
        <v>45974</v>
      </c>
      <c r="G306" s="3" t="s">
        <v>844</v>
      </c>
      <c r="H306" s="3" t="s">
        <v>24</v>
      </c>
      <c r="I306" s="2">
        <v>455.2</v>
      </c>
      <c r="J306" s="3" t="s">
        <v>30</v>
      </c>
      <c r="K306">
        <f t="shared" si="8"/>
        <v>2026</v>
      </c>
      <c r="L306" t="str">
        <f t="shared" si="9"/>
        <v>31-40</v>
      </c>
      <c r="M306">
        <f>Table2[[#This Row],[appointment_date]]-Table2[[#This Row],[booking_date]]</f>
        <v>62</v>
      </c>
    </row>
    <row r="307" spans="1:13" x14ac:dyDescent="0.25">
      <c r="A307" s="4">
        <v>1053</v>
      </c>
      <c r="B307" s="3" t="s">
        <v>846</v>
      </c>
      <c r="C307" s="4">
        <v>76</v>
      </c>
      <c r="D307" s="3" t="s">
        <v>68</v>
      </c>
      <c r="E307" s="5">
        <v>45827</v>
      </c>
      <c r="F307" s="5">
        <v>45777</v>
      </c>
      <c r="G307" s="3" t="s">
        <v>847</v>
      </c>
      <c r="H307" s="3" t="s">
        <v>13</v>
      </c>
      <c r="I307" s="2">
        <v>374.51</v>
      </c>
      <c r="J307" s="3" t="s">
        <v>30</v>
      </c>
      <c r="K307">
        <f t="shared" si="8"/>
        <v>2025</v>
      </c>
      <c r="L307" t="str">
        <f t="shared" si="9"/>
        <v>71-80</v>
      </c>
      <c r="M307">
        <f>Table2[[#This Row],[appointment_date]]-Table2[[#This Row],[booking_date]]</f>
        <v>50</v>
      </c>
    </row>
    <row r="308" spans="1:13" x14ac:dyDescent="0.25">
      <c r="A308" s="4">
        <v>1011</v>
      </c>
      <c r="B308" s="3" t="s">
        <v>849</v>
      </c>
      <c r="C308" s="4">
        <v>60</v>
      </c>
      <c r="D308" s="3" t="s">
        <v>68</v>
      </c>
      <c r="E308" s="5">
        <v>45830</v>
      </c>
      <c r="F308" s="5">
        <v>45408</v>
      </c>
      <c r="G308" s="3" t="s">
        <v>850</v>
      </c>
      <c r="H308" s="3" t="s">
        <v>13</v>
      </c>
      <c r="I308" s="2">
        <v>1.38</v>
      </c>
      <c r="J308" s="3" t="s">
        <v>30</v>
      </c>
      <c r="K308">
        <f t="shared" si="8"/>
        <v>2025</v>
      </c>
      <c r="L308" t="str">
        <f t="shared" si="9"/>
        <v>51-60</v>
      </c>
      <c r="M308">
        <f>Table2[[#This Row],[appointment_date]]-Table2[[#This Row],[booking_date]]</f>
        <v>422</v>
      </c>
    </row>
    <row r="309" spans="1:13" x14ac:dyDescent="0.25">
      <c r="A309" s="4">
        <v>1074</v>
      </c>
      <c r="B309" s="3" t="s">
        <v>852</v>
      </c>
      <c r="C309" s="4">
        <v>51</v>
      </c>
      <c r="D309" s="3" t="s">
        <v>68</v>
      </c>
      <c r="E309" s="5">
        <v>46019</v>
      </c>
      <c r="F309" s="5">
        <v>45764</v>
      </c>
      <c r="G309" s="3" t="s">
        <v>853</v>
      </c>
      <c r="H309" s="3" t="s">
        <v>28</v>
      </c>
      <c r="I309" s="2">
        <v>502.54</v>
      </c>
      <c r="J309" s="3" t="s">
        <v>30</v>
      </c>
      <c r="K309">
        <f t="shared" si="8"/>
        <v>2025</v>
      </c>
      <c r="L309" t="str">
        <f t="shared" si="9"/>
        <v>51-60</v>
      </c>
      <c r="M309">
        <f>Table2[[#This Row],[appointment_date]]-Table2[[#This Row],[booking_date]]</f>
        <v>255</v>
      </c>
    </row>
    <row r="310" spans="1:13" x14ac:dyDescent="0.25">
      <c r="A310" s="4">
        <v>1051</v>
      </c>
      <c r="B310" s="3" t="s">
        <v>855</v>
      </c>
      <c r="C310" s="4">
        <v>52</v>
      </c>
      <c r="D310" s="3" t="s">
        <v>37</v>
      </c>
      <c r="E310" s="5">
        <v>45907</v>
      </c>
      <c r="F310" s="5">
        <v>45405</v>
      </c>
      <c r="G310" s="3" t="s">
        <v>856</v>
      </c>
      <c r="H310" s="3" t="s">
        <v>13</v>
      </c>
      <c r="I310" s="2">
        <v>598.82000000000005</v>
      </c>
      <c r="J310" s="3" t="s">
        <v>35</v>
      </c>
      <c r="K310">
        <f t="shared" si="8"/>
        <v>2025</v>
      </c>
      <c r="L310" t="str">
        <f t="shared" si="9"/>
        <v>51-60</v>
      </c>
      <c r="M310">
        <f>Table2[[#This Row],[appointment_date]]-Table2[[#This Row],[booking_date]]</f>
        <v>502</v>
      </c>
    </row>
    <row r="311" spans="1:13" x14ac:dyDescent="0.25">
      <c r="A311" s="4">
        <v>1029</v>
      </c>
      <c r="B311" s="3" t="s">
        <v>858</v>
      </c>
      <c r="C311" s="4">
        <v>43</v>
      </c>
      <c r="D311" s="3" t="s">
        <v>37</v>
      </c>
      <c r="E311" s="5">
        <v>45925</v>
      </c>
      <c r="F311" s="5">
        <v>45595</v>
      </c>
      <c r="G311" s="3" t="s">
        <v>859</v>
      </c>
      <c r="H311" s="3" t="s">
        <v>13</v>
      </c>
      <c r="I311" s="2">
        <v>428.75</v>
      </c>
      <c r="J311" s="3" t="s">
        <v>35</v>
      </c>
      <c r="K311">
        <f t="shared" si="8"/>
        <v>2025</v>
      </c>
      <c r="L311" t="str">
        <f t="shared" si="9"/>
        <v>41-50</v>
      </c>
      <c r="M311">
        <f>Table2[[#This Row],[appointment_date]]-Table2[[#This Row],[booking_date]]</f>
        <v>330</v>
      </c>
    </row>
    <row r="312" spans="1:13" x14ac:dyDescent="0.25">
      <c r="A312" s="4">
        <v>1043</v>
      </c>
      <c r="B312" s="3" t="s">
        <v>861</v>
      </c>
      <c r="C312" s="4">
        <v>38</v>
      </c>
      <c r="D312" s="3" t="s">
        <v>68</v>
      </c>
      <c r="E312" s="5">
        <v>46047</v>
      </c>
      <c r="F312" s="5">
        <v>45391</v>
      </c>
      <c r="G312" s="3" t="s">
        <v>862</v>
      </c>
      <c r="H312" s="3" t="s">
        <v>24</v>
      </c>
      <c r="I312" s="2">
        <v>424.21</v>
      </c>
      <c r="J312" s="3" t="s">
        <v>30</v>
      </c>
      <c r="K312">
        <f t="shared" si="8"/>
        <v>2026</v>
      </c>
      <c r="L312" t="str">
        <f t="shared" si="9"/>
        <v>31-40</v>
      </c>
      <c r="M312">
        <f>Table2[[#This Row],[appointment_date]]-Table2[[#This Row],[booking_date]]</f>
        <v>656</v>
      </c>
    </row>
    <row r="313" spans="1:13" x14ac:dyDescent="0.25">
      <c r="A313" s="4">
        <v>1095</v>
      </c>
      <c r="B313" s="3" t="s">
        <v>863</v>
      </c>
      <c r="C313" s="4">
        <v>84</v>
      </c>
      <c r="D313" s="3" t="s">
        <v>37</v>
      </c>
      <c r="E313" s="5">
        <v>46068</v>
      </c>
      <c r="F313" s="5">
        <v>45982</v>
      </c>
      <c r="G313" s="3" t="s">
        <v>864</v>
      </c>
      <c r="H313" s="3" t="s">
        <v>18</v>
      </c>
      <c r="I313" s="2">
        <v>289.39</v>
      </c>
      <c r="J313" s="3" t="s">
        <v>35</v>
      </c>
      <c r="K313">
        <f t="shared" si="8"/>
        <v>2026</v>
      </c>
      <c r="L313" t="str">
        <f t="shared" si="9"/>
        <v>81-90</v>
      </c>
      <c r="M313">
        <f>Table2[[#This Row],[appointment_date]]-Table2[[#This Row],[booking_date]]</f>
        <v>86</v>
      </c>
    </row>
    <row r="314" spans="1:13" x14ac:dyDescent="0.25">
      <c r="A314" s="4">
        <v>1080</v>
      </c>
      <c r="B314" s="3" t="s">
        <v>866</v>
      </c>
      <c r="C314" s="4">
        <v>40</v>
      </c>
      <c r="D314" s="3" t="s">
        <v>68</v>
      </c>
      <c r="E314" s="5">
        <v>45896</v>
      </c>
      <c r="F314" s="5">
        <v>45851</v>
      </c>
      <c r="G314" s="3" t="s">
        <v>867</v>
      </c>
      <c r="H314" s="3" t="s">
        <v>18</v>
      </c>
      <c r="I314" s="2">
        <v>4.03</v>
      </c>
      <c r="J314" s="3" t="s">
        <v>35</v>
      </c>
      <c r="K314">
        <f t="shared" si="8"/>
        <v>2025</v>
      </c>
      <c r="L314" t="str">
        <f t="shared" si="9"/>
        <v>31-40</v>
      </c>
      <c r="M314">
        <f>Table2[[#This Row],[appointment_date]]-Table2[[#This Row],[booking_date]]</f>
        <v>45</v>
      </c>
    </row>
    <row r="315" spans="1:13" x14ac:dyDescent="0.25">
      <c r="A315" s="4">
        <v>1082</v>
      </c>
      <c r="B315" s="3" t="s">
        <v>869</v>
      </c>
      <c r="C315" s="4">
        <v>89</v>
      </c>
      <c r="D315" s="3" t="s">
        <v>68</v>
      </c>
      <c r="E315" s="5">
        <v>45743</v>
      </c>
      <c r="F315" s="5">
        <v>45642</v>
      </c>
      <c r="G315" s="3" t="s">
        <v>870</v>
      </c>
      <c r="H315" s="3" t="s">
        <v>13</v>
      </c>
      <c r="I315" s="2">
        <v>5.14</v>
      </c>
      <c r="J315" s="3" t="s">
        <v>30</v>
      </c>
      <c r="K315">
        <f t="shared" si="8"/>
        <v>2025</v>
      </c>
      <c r="L315" t="str">
        <f t="shared" si="9"/>
        <v>81-90</v>
      </c>
      <c r="M315">
        <f>Table2[[#This Row],[appointment_date]]-Table2[[#This Row],[booking_date]]</f>
        <v>101</v>
      </c>
    </row>
    <row r="316" spans="1:13" x14ac:dyDescent="0.25">
      <c r="A316" s="4">
        <v>1058</v>
      </c>
      <c r="B316" s="3" t="s">
        <v>872</v>
      </c>
      <c r="C316" s="4">
        <v>57</v>
      </c>
      <c r="D316" s="3" t="s">
        <v>37</v>
      </c>
      <c r="E316" s="5">
        <v>45960</v>
      </c>
      <c r="F316" s="5">
        <v>45531</v>
      </c>
      <c r="G316" s="3" t="s">
        <v>873</v>
      </c>
      <c r="H316" s="3" t="s">
        <v>24</v>
      </c>
      <c r="I316" s="2">
        <v>152.51</v>
      </c>
      <c r="J316" s="3" t="s">
        <v>35</v>
      </c>
      <c r="K316">
        <f t="shared" si="8"/>
        <v>2025</v>
      </c>
      <c r="L316" t="str">
        <f t="shared" si="9"/>
        <v>51-60</v>
      </c>
      <c r="M316">
        <f>Table2[[#This Row],[appointment_date]]-Table2[[#This Row],[booking_date]]</f>
        <v>429</v>
      </c>
    </row>
    <row r="317" spans="1:13" x14ac:dyDescent="0.25">
      <c r="A317" s="4">
        <v>1088</v>
      </c>
      <c r="B317" s="3" t="s">
        <v>875</v>
      </c>
      <c r="C317" s="4">
        <v>26</v>
      </c>
      <c r="D317" s="3" t="s">
        <v>37</v>
      </c>
      <c r="E317" s="5">
        <v>46085</v>
      </c>
      <c r="F317" s="5">
        <v>46019</v>
      </c>
      <c r="G317" s="3" t="s">
        <v>876</v>
      </c>
      <c r="H317" s="3" t="s">
        <v>13</v>
      </c>
      <c r="I317" s="2">
        <v>0.79</v>
      </c>
      <c r="J317" s="3" t="s">
        <v>30</v>
      </c>
      <c r="K317">
        <f t="shared" si="8"/>
        <v>2026</v>
      </c>
      <c r="L317" t="str">
        <f t="shared" si="9"/>
        <v>18-30</v>
      </c>
      <c r="M317">
        <f>Table2[[#This Row],[appointment_date]]-Table2[[#This Row],[booking_date]]</f>
        <v>66</v>
      </c>
    </row>
    <row r="318" spans="1:13" x14ac:dyDescent="0.25">
      <c r="A318" s="4">
        <v>1039</v>
      </c>
      <c r="B318" s="3" t="s">
        <v>878</v>
      </c>
      <c r="C318" s="4">
        <v>61</v>
      </c>
      <c r="D318" s="3" t="s">
        <v>37</v>
      </c>
      <c r="E318" s="5">
        <v>45968</v>
      </c>
      <c r="F318" s="5">
        <v>45921</v>
      </c>
      <c r="G318" s="3" t="s">
        <v>879</v>
      </c>
      <c r="H318" s="3" t="s">
        <v>28</v>
      </c>
      <c r="I318" s="2">
        <v>2.91</v>
      </c>
      <c r="J318" s="3" t="s">
        <v>30</v>
      </c>
      <c r="K318">
        <f t="shared" si="8"/>
        <v>2025</v>
      </c>
      <c r="L318" t="str">
        <f t="shared" si="9"/>
        <v>61-70</v>
      </c>
      <c r="M318">
        <f>Table2[[#This Row],[appointment_date]]-Table2[[#This Row],[booking_date]]</f>
        <v>47</v>
      </c>
    </row>
    <row r="319" spans="1:13" x14ac:dyDescent="0.25">
      <c r="A319" s="4">
        <v>1016</v>
      </c>
      <c r="B319" s="3" t="s">
        <v>881</v>
      </c>
      <c r="C319" s="4">
        <v>78</v>
      </c>
      <c r="D319" s="3" t="s">
        <v>37</v>
      </c>
      <c r="E319" s="5">
        <v>45798</v>
      </c>
      <c r="F319" s="5">
        <v>45522</v>
      </c>
      <c r="G319" s="3" t="s">
        <v>882</v>
      </c>
      <c r="H319" s="3" t="s">
        <v>24</v>
      </c>
      <c r="I319" s="2">
        <v>1.02</v>
      </c>
      <c r="J319" s="3" t="s">
        <v>35</v>
      </c>
      <c r="K319">
        <f t="shared" si="8"/>
        <v>2025</v>
      </c>
      <c r="L319" t="str">
        <f t="shared" si="9"/>
        <v>71-80</v>
      </c>
      <c r="M319">
        <f>Table2[[#This Row],[appointment_date]]-Table2[[#This Row],[booking_date]]</f>
        <v>276</v>
      </c>
    </row>
    <row r="320" spans="1:13" x14ac:dyDescent="0.25">
      <c r="A320" s="4">
        <v>1098</v>
      </c>
      <c r="B320" s="3" t="s">
        <v>884</v>
      </c>
      <c r="C320" s="4">
        <v>35</v>
      </c>
      <c r="D320" s="3" t="s">
        <v>68</v>
      </c>
      <c r="E320" s="5">
        <v>46008</v>
      </c>
      <c r="F320" s="5">
        <v>45409</v>
      </c>
      <c r="G320" s="3" t="s">
        <v>885</v>
      </c>
      <c r="H320" s="3" t="s">
        <v>18</v>
      </c>
      <c r="I320" s="2">
        <v>4.8499999999999996</v>
      </c>
      <c r="J320" s="3" t="s">
        <v>30</v>
      </c>
      <c r="K320">
        <f t="shared" si="8"/>
        <v>2025</v>
      </c>
      <c r="L320" t="str">
        <f t="shared" si="9"/>
        <v>31-40</v>
      </c>
      <c r="M320">
        <f>Table2[[#This Row],[appointment_date]]-Table2[[#This Row],[booking_date]]</f>
        <v>599</v>
      </c>
    </row>
    <row r="321" spans="1:13" x14ac:dyDescent="0.25">
      <c r="A321" s="4">
        <v>1025</v>
      </c>
      <c r="B321" s="3" t="s">
        <v>887</v>
      </c>
      <c r="C321" s="4">
        <v>40</v>
      </c>
      <c r="D321" s="3" t="s">
        <v>68</v>
      </c>
      <c r="E321" s="5">
        <v>45880</v>
      </c>
      <c r="F321" s="5">
        <v>45506</v>
      </c>
      <c r="G321" s="3" t="s">
        <v>888</v>
      </c>
      <c r="H321" s="3" t="s">
        <v>18</v>
      </c>
      <c r="I321" s="2">
        <v>2.85</v>
      </c>
      <c r="J321" s="3" t="s">
        <v>30</v>
      </c>
      <c r="K321">
        <f t="shared" si="8"/>
        <v>2025</v>
      </c>
      <c r="L321" t="str">
        <f t="shared" si="9"/>
        <v>31-40</v>
      </c>
      <c r="M321">
        <f>Table2[[#This Row],[appointment_date]]-Table2[[#This Row],[booking_date]]</f>
        <v>374</v>
      </c>
    </row>
    <row r="322" spans="1:13" x14ac:dyDescent="0.25">
      <c r="A322" s="4">
        <v>1012</v>
      </c>
      <c r="B322" s="3" t="s">
        <v>890</v>
      </c>
      <c r="C322" s="4">
        <v>59</v>
      </c>
      <c r="D322" s="3" t="s">
        <v>37</v>
      </c>
      <c r="E322" s="5">
        <v>45778</v>
      </c>
      <c r="F322" s="5">
        <v>45567</v>
      </c>
      <c r="G322" s="3" t="s">
        <v>891</v>
      </c>
      <c r="H322" s="3" t="s">
        <v>28</v>
      </c>
      <c r="I322" s="2">
        <v>1.72</v>
      </c>
      <c r="J322" s="3" t="s">
        <v>35</v>
      </c>
      <c r="K322">
        <f t="shared" si="8"/>
        <v>2025</v>
      </c>
      <c r="L322" t="str">
        <f t="shared" si="9"/>
        <v>51-60</v>
      </c>
      <c r="M322">
        <f>Table2[[#This Row],[appointment_date]]-Table2[[#This Row],[booking_date]]</f>
        <v>211</v>
      </c>
    </row>
    <row r="323" spans="1:13" x14ac:dyDescent="0.25">
      <c r="A323" s="4">
        <v>1038</v>
      </c>
      <c r="B323" s="3" t="s">
        <v>893</v>
      </c>
      <c r="C323" s="4">
        <v>57</v>
      </c>
      <c r="D323" s="3" t="s">
        <v>37</v>
      </c>
      <c r="E323" s="5">
        <v>45776</v>
      </c>
      <c r="F323" s="5">
        <v>45398</v>
      </c>
      <c r="G323" s="3" t="s">
        <v>894</v>
      </c>
      <c r="H323" s="3" t="s">
        <v>24</v>
      </c>
      <c r="I323" s="2">
        <v>1.22</v>
      </c>
      <c r="J323" s="3" t="s">
        <v>35</v>
      </c>
      <c r="K323">
        <f t="shared" ref="K323:K386" si="10">YEAR(E323)</f>
        <v>2025</v>
      </c>
      <c r="L323" t="str">
        <f t="shared" ref="L323:L386" si="11">IF(C323="","",IF(C323&lt;=30,"18-30",IF(C323&lt;=40,"31-40",IF(C323&lt;=50,"41-50",IF(C323&lt;=60,"51-60",IF(C323&lt;=70,"61-70",IF(C323&lt;=80,"71-80","81-90")))))))</f>
        <v>51-60</v>
      </c>
      <c r="M323">
        <f>Table2[[#This Row],[appointment_date]]-Table2[[#This Row],[booking_date]]</f>
        <v>378</v>
      </c>
    </row>
    <row r="324" spans="1:13" x14ac:dyDescent="0.25">
      <c r="A324" s="4">
        <v>1000</v>
      </c>
      <c r="B324" s="3" t="s">
        <v>896</v>
      </c>
      <c r="C324" s="4">
        <v>85</v>
      </c>
      <c r="D324" s="3" t="s">
        <v>68</v>
      </c>
      <c r="E324" s="5">
        <v>45823</v>
      </c>
      <c r="F324" s="5">
        <v>45476</v>
      </c>
      <c r="G324" s="3" t="s">
        <v>897</v>
      </c>
      <c r="H324" s="3" t="s">
        <v>24</v>
      </c>
      <c r="I324" s="2">
        <v>404.68</v>
      </c>
      <c r="J324" s="3" t="s">
        <v>30</v>
      </c>
      <c r="K324">
        <f t="shared" si="10"/>
        <v>2025</v>
      </c>
      <c r="L324" t="str">
        <f t="shared" si="11"/>
        <v>81-90</v>
      </c>
      <c r="M324">
        <f>Table2[[#This Row],[appointment_date]]-Table2[[#This Row],[booking_date]]</f>
        <v>347</v>
      </c>
    </row>
    <row r="325" spans="1:13" x14ac:dyDescent="0.25">
      <c r="A325" s="4">
        <v>1020</v>
      </c>
      <c r="B325" s="3" t="s">
        <v>899</v>
      </c>
      <c r="C325" s="4">
        <v>76</v>
      </c>
      <c r="D325" s="3" t="s">
        <v>37</v>
      </c>
      <c r="E325" s="5">
        <v>45807</v>
      </c>
      <c r="F325" s="5">
        <v>45500</v>
      </c>
      <c r="G325" s="3" t="s">
        <v>900</v>
      </c>
      <c r="H325" s="3" t="s">
        <v>28</v>
      </c>
      <c r="I325" s="2">
        <v>454.55</v>
      </c>
      <c r="J325" s="3" t="s">
        <v>30</v>
      </c>
      <c r="K325">
        <f t="shared" si="10"/>
        <v>2025</v>
      </c>
      <c r="L325" t="str">
        <f t="shared" si="11"/>
        <v>71-80</v>
      </c>
      <c r="M325">
        <f>Table2[[#This Row],[appointment_date]]-Table2[[#This Row],[booking_date]]</f>
        <v>307</v>
      </c>
    </row>
    <row r="326" spans="1:13" x14ac:dyDescent="0.25">
      <c r="A326" s="4">
        <v>1010</v>
      </c>
      <c r="B326" s="3" t="s">
        <v>902</v>
      </c>
      <c r="C326" s="4">
        <v>87</v>
      </c>
      <c r="D326" s="3"/>
      <c r="E326" s="5">
        <v>45813</v>
      </c>
      <c r="F326" s="5">
        <v>45396</v>
      </c>
      <c r="G326" s="3" t="s">
        <v>903</v>
      </c>
      <c r="H326" s="3" t="s">
        <v>24</v>
      </c>
      <c r="I326" s="2">
        <v>5.46</v>
      </c>
      <c r="J326" s="3" t="s">
        <v>35</v>
      </c>
      <c r="K326">
        <f t="shared" si="10"/>
        <v>2025</v>
      </c>
      <c r="L326" t="str">
        <f t="shared" si="11"/>
        <v>81-90</v>
      </c>
      <c r="M326">
        <f>Table2[[#This Row],[appointment_date]]-Table2[[#This Row],[booking_date]]</f>
        <v>417</v>
      </c>
    </row>
    <row r="327" spans="1:13" x14ac:dyDescent="0.25">
      <c r="A327" s="4">
        <v>1031</v>
      </c>
      <c r="B327" s="3" t="s">
        <v>905</v>
      </c>
      <c r="C327" s="4">
        <v>40</v>
      </c>
      <c r="D327" s="3" t="s">
        <v>68</v>
      </c>
      <c r="E327" s="5">
        <v>46065</v>
      </c>
      <c r="F327" s="5">
        <v>45394</v>
      </c>
      <c r="G327" s="3" t="s">
        <v>906</v>
      </c>
      <c r="H327" s="3" t="s">
        <v>24</v>
      </c>
      <c r="I327" s="2">
        <v>364.33</v>
      </c>
      <c r="J327" s="3" t="s">
        <v>30</v>
      </c>
      <c r="K327">
        <f t="shared" si="10"/>
        <v>2026</v>
      </c>
      <c r="L327" t="str">
        <f t="shared" si="11"/>
        <v>31-40</v>
      </c>
      <c r="M327">
        <f>Table2[[#This Row],[appointment_date]]-Table2[[#This Row],[booking_date]]</f>
        <v>671</v>
      </c>
    </row>
    <row r="328" spans="1:13" x14ac:dyDescent="0.25">
      <c r="A328" s="4">
        <v>1006</v>
      </c>
      <c r="B328" s="3" t="s">
        <v>907</v>
      </c>
      <c r="C328" s="4">
        <v>54</v>
      </c>
      <c r="D328" s="3" t="s">
        <v>37</v>
      </c>
      <c r="E328" s="5">
        <v>45826</v>
      </c>
      <c r="F328" s="5">
        <v>45602</v>
      </c>
      <c r="G328" s="3" t="s">
        <v>908</v>
      </c>
      <c r="H328" s="3" t="s">
        <v>24</v>
      </c>
      <c r="I328" s="2">
        <v>1.32</v>
      </c>
      <c r="J328" s="3" t="s">
        <v>30</v>
      </c>
      <c r="K328">
        <f t="shared" si="10"/>
        <v>2025</v>
      </c>
      <c r="L328" t="str">
        <f t="shared" si="11"/>
        <v>51-60</v>
      </c>
      <c r="M328">
        <f>Table2[[#This Row],[appointment_date]]-Table2[[#This Row],[booking_date]]</f>
        <v>224</v>
      </c>
    </row>
    <row r="329" spans="1:13" x14ac:dyDescent="0.25">
      <c r="A329" s="4">
        <v>1078</v>
      </c>
      <c r="B329" s="3" t="s">
        <v>910</v>
      </c>
      <c r="C329" s="4">
        <v>85</v>
      </c>
      <c r="D329" s="3" t="s">
        <v>37</v>
      </c>
      <c r="E329" s="5">
        <v>45858</v>
      </c>
      <c r="F329" s="5">
        <v>45623</v>
      </c>
      <c r="G329" s="3" t="s">
        <v>911</v>
      </c>
      <c r="H329" s="3" t="s">
        <v>28</v>
      </c>
      <c r="I329" s="2">
        <v>531.4</v>
      </c>
      <c r="J329" s="3" t="s">
        <v>30</v>
      </c>
      <c r="K329">
        <f t="shared" si="10"/>
        <v>2025</v>
      </c>
      <c r="L329" t="str">
        <f t="shared" si="11"/>
        <v>81-90</v>
      </c>
      <c r="M329">
        <f>Table2[[#This Row],[appointment_date]]-Table2[[#This Row],[booking_date]]</f>
        <v>235</v>
      </c>
    </row>
    <row r="330" spans="1:13" x14ac:dyDescent="0.25">
      <c r="A330" s="4">
        <v>1021</v>
      </c>
      <c r="B330" s="3" t="s">
        <v>913</v>
      </c>
      <c r="C330" s="4">
        <v>43</v>
      </c>
      <c r="D330" s="3" t="s">
        <v>37</v>
      </c>
      <c r="E330" s="5">
        <v>45772</v>
      </c>
      <c r="F330" s="5">
        <v>45748</v>
      </c>
      <c r="G330" s="3" t="s">
        <v>914</v>
      </c>
      <c r="H330" s="3" t="s">
        <v>24</v>
      </c>
      <c r="I330" s="2">
        <v>2.0499999999999998</v>
      </c>
      <c r="J330" s="3" t="s">
        <v>30</v>
      </c>
      <c r="K330">
        <f t="shared" si="10"/>
        <v>2025</v>
      </c>
      <c r="L330" t="str">
        <f t="shared" si="11"/>
        <v>41-50</v>
      </c>
      <c r="M330">
        <f>Table2[[#This Row],[appointment_date]]-Table2[[#This Row],[booking_date]]</f>
        <v>24</v>
      </c>
    </row>
    <row r="331" spans="1:13" x14ac:dyDescent="0.25">
      <c r="A331" s="4">
        <v>1084</v>
      </c>
      <c r="B331" s="3" t="s">
        <v>916</v>
      </c>
      <c r="C331" s="4">
        <v>53</v>
      </c>
      <c r="D331" s="3" t="s">
        <v>37</v>
      </c>
      <c r="E331" s="5">
        <v>45966</v>
      </c>
      <c r="F331" s="5">
        <v>45870</v>
      </c>
      <c r="G331" s="3" t="s">
        <v>917</v>
      </c>
      <c r="H331" s="3" t="s">
        <v>24</v>
      </c>
      <c r="I331" s="2">
        <v>2.58</v>
      </c>
      <c r="J331" s="3" t="s">
        <v>35</v>
      </c>
      <c r="K331">
        <f t="shared" si="10"/>
        <v>2025</v>
      </c>
      <c r="L331" t="str">
        <f t="shared" si="11"/>
        <v>51-60</v>
      </c>
      <c r="M331">
        <f>Table2[[#This Row],[appointment_date]]-Table2[[#This Row],[booking_date]]</f>
        <v>96</v>
      </c>
    </row>
    <row r="332" spans="1:13" x14ac:dyDescent="0.25">
      <c r="A332" s="4">
        <v>1025</v>
      </c>
      <c r="B332" s="3" t="s">
        <v>919</v>
      </c>
      <c r="C332" s="4">
        <v>55</v>
      </c>
      <c r="D332" s="3" t="s">
        <v>37</v>
      </c>
      <c r="E332" s="5">
        <v>45976</v>
      </c>
      <c r="F332" s="5">
        <v>45479</v>
      </c>
      <c r="G332" s="3" t="s">
        <v>920</v>
      </c>
      <c r="H332" s="3" t="s">
        <v>28</v>
      </c>
      <c r="I332" s="2">
        <v>3.48</v>
      </c>
      <c r="J332" s="3" t="s">
        <v>30</v>
      </c>
      <c r="K332">
        <f t="shared" si="10"/>
        <v>2025</v>
      </c>
      <c r="L332" t="str">
        <f t="shared" si="11"/>
        <v>51-60</v>
      </c>
      <c r="M332">
        <f>Table2[[#This Row],[appointment_date]]-Table2[[#This Row],[booking_date]]</f>
        <v>497</v>
      </c>
    </row>
    <row r="333" spans="1:13" x14ac:dyDescent="0.25">
      <c r="A333" s="4">
        <v>1015</v>
      </c>
      <c r="B333" s="3" t="s">
        <v>922</v>
      </c>
      <c r="C333" s="4">
        <v>21</v>
      </c>
      <c r="D333" s="3" t="s">
        <v>37</v>
      </c>
      <c r="E333" s="5">
        <v>45998</v>
      </c>
      <c r="F333" s="5">
        <v>45716</v>
      </c>
      <c r="G333" s="3" t="s">
        <v>923</v>
      </c>
      <c r="H333" s="3" t="s">
        <v>18</v>
      </c>
      <c r="I333" s="2">
        <v>1.43</v>
      </c>
      <c r="J333" s="3" t="s">
        <v>35</v>
      </c>
      <c r="K333">
        <f t="shared" si="10"/>
        <v>2025</v>
      </c>
      <c r="L333" t="str">
        <f t="shared" si="11"/>
        <v>18-30</v>
      </c>
      <c r="M333">
        <f>Table2[[#This Row],[appointment_date]]-Table2[[#This Row],[booking_date]]</f>
        <v>282</v>
      </c>
    </row>
    <row r="334" spans="1:13" x14ac:dyDescent="0.25">
      <c r="A334" s="4">
        <v>1084</v>
      </c>
      <c r="B334" s="3" t="s">
        <v>925</v>
      </c>
      <c r="C334" s="4">
        <v>78</v>
      </c>
      <c r="D334" s="3" t="s">
        <v>68</v>
      </c>
      <c r="E334" s="5">
        <v>46064</v>
      </c>
      <c r="F334" s="5">
        <v>45610</v>
      </c>
      <c r="G334" s="3" t="s">
        <v>926</v>
      </c>
      <c r="H334" s="3" t="s">
        <v>24</v>
      </c>
      <c r="I334" s="2">
        <v>524.16999999999996</v>
      </c>
      <c r="J334" s="3" t="s">
        <v>30</v>
      </c>
      <c r="K334">
        <f t="shared" si="10"/>
        <v>2026</v>
      </c>
      <c r="L334" t="str">
        <f t="shared" si="11"/>
        <v>71-80</v>
      </c>
      <c r="M334">
        <f>Table2[[#This Row],[appointment_date]]-Table2[[#This Row],[booking_date]]</f>
        <v>454</v>
      </c>
    </row>
    <row r="335" spans="1:13" x14ac:dyDescent="0.25">
      <c r="A335" s="4">
        <v>1015</v>
      </c>
      <c r="B335" s="3" t="s">
        <v>928</v>
      </c>
      <c r="C335" s="4">
        <v>86</v>
      </c>
      <c r="D335" s="3" t="s">
        <v>37</v>
      </c>
      <c r="E335" s="5">
        <v>45882</v>
      </c>
      <c r="F335" s="5">
        <v>45556</v>
      </c>
      <c r="G335" s="3" t="s">
        <v>929</v>
      </c>
      <c r="H335" s="3" t="s">
        <v>13</v>
      </c>
      <c r="I335" s="2">
        <v>5.05</v>
      </c>
      <c r="J335" s="3" t="s">
        <v>35</v>
      </c>
      <c r="K335">
        <f t="shared" si="10"/>
        <v>2025</v>
      </c>
      <c r="L335" t="str">
        <f t="shared" si="11"/>
        <v>81-90</v>
      </c>
      <c r="M335">
        <f>Table2[[#This Row],[appointment_date]]-Table2[[#This Row],[booking_date]]</f>
        <v>326</v>
      </c>
    </row>
    <row r="336" spans="1:13" x14ac:dyDescent="0.25">
      <c r="A336" s="4">
        <v>1091</v>
      </c>
      <c r="B336" s="3" t="s">
        <v>931</v>
      </c>
      <c r="C336" s="4">
        <v>27</v>
      </c>
      <c r="D336" s="3" t="s">
        <v>68</v>
      </c>
      <c r="E336" s="5">
        <v>46031</v>
      </c>
      <c r="F336" s="5">
        <v>45732</v>
      </c>
      <c r="G336" s="3" t="s">
        <v>932</v>
      </c>
      <c r="H336" s="3" t="s">
        <v>18</v>
      </c>
      <c r="I336" s="2">
        <v>414.68</v>
      </c>
      <c r="J336" s="3" t="s">
        <v>30</v>
      </c>
      <c r="K336">
        <f t="shared" si="10"/>
        <v>2026</v>
      </c>
      <c r="L336" t="str">
        <f t="shared" si="11"/>
        <v>18-30</v>
      </c>
      <c r="M336">
        <f>Table2[[#This Row],[appointment_date]]-Table2[[#This Row],[booking_date]]</f>
        <v>299</v>
      </c>
    </row>
    <row r="337" spans="1:13" x14ac:dyDescent="0.25">
      <c r="A337" s="4">
        <v>1065</v>
      </c>
      <c r="B337" s="3" t="s">
        <v>934</v>
      </c>
      <c r="C337" s="4">
        <v>76</v>
      </c>
      <c r="D337" s="3" t="s">
        <v>68</v>
      </c>
      <c r="E337" s="5">
        <v>45836</v>
      </c>
      <c r="F337" s="5">
        <v>45648</v>
      </c>
      <c r="G337" s="3" t="s">
        <v>935</v>
      </c>
      <c r="H337" s="3" t="s">
        <v>18</v>
      </c>
      <c r="I337" s="2">
        <v>1.6</v>
      </c>
      <c r="J337" s="3" t="s">
        <v>35</v>
      </c>
      <c r="K337">
        <f t="shared" si="10"/>
        <v>2025</v>
      </c>
      <c r="L337" t="str">
        <f t="shared" si="11"/>
        <v>71-80</v>
      </c>
      <c r="M337">
        <f>Table2[[#This Row],[appointment_date]]-Table2[[#This Row],[booking_date]]</f>
        <v>188</v>
      </c>
    </row>
    <row r="338" spans="1:13" x14ac:dyDescent="0.25">
      <c r="A338" s="4">
        <v>1045</v>
      </c>
      <c r="B338" s="3" t="s">
        <v>937</v>
      </c>
      <c r="C338" s="4">
        <v>38</v>
      </c>
      <c r="D338" s="3" t="s">
        <v>68</v>
      </c>
      <c r="E338" s="5">
        <v>45888</v>
      </c>
      <c r="F338" s="5">
        <v>45817</v>
      </c>
      <c r="G338" s="3" t="s">
        <v>938</v>
      </c>
      <c r="H338" s="3" t="s">
        <v>28</v>
      </c>
      <c r="I338" s="2">
        <v>273.02999999999997</v>
      </c>
      <c r="J338" s="3" t="s">
        <v>35</v>
      </c>
      <c r="K338">
        <f t="shared" si="10"/>
        <v>2025</v>
      </c>
      <c r="L338" t="str">
        <f t="shared" si="11"/>
        <v>31-40</v>
      </c>
      <c r="M338">
        <f>Table2[[#This Row],[appointment_date]]-Table2[[#This Row],[booking_date]]</f>
        <v>71</v>
      </c>
    </row>
    <row r="339" spans="1:13" x14ac:dyDescent="0.25">
      <c r="A339" s="4">
        <v>1050</v>
      </c>
      <c r="B339" s="3" t="s">
        <v>939</v>
      </c>
      <c r="C339" s="4">
        <v>81</v>
      </c>
      <c r="D339" s="3" t="s">
        <v>68</v>
      </c>
      <c r="E339" s="5">
        <v>45804</v>
      </c>
      <c r="F339" s="5">
        <v>45555</v>
      </c>
      <c r="G339" s="3" t="s">
        <v>940</v>
      </c>
      <c r="H339" s="3" t="s">
        <v>13</v>
      </c>
      <c r="I339" s="2">
        <v>184.28</v>
      </c>
      <c r="J339" s="3" t="s">
        <v>35</v>
      </c>
      <c r="K339">
        <f t="shared" si="10"/>
        <v>2025</v>
      </c>
      <c r="L339" t="str">
        <f t="shared" si="11"/>
        <v>81-90</v>
      </c>
      <c r="M339">
        <f>Table2[[#This Row],[appointment_date]]-Table2[[#This Row],[booking_date]]</f>
        <v>249</v>
      </c>
    </row>
    <row r="340" spans="1:13" x14ac:dyDescent="0.25">
      <c r="A340" s="4">
        <v>1058</v>
      </c>
      <c r="B340" s="3" t="s">
        <v>941</v>
      </c>
      <c r="C340" s="4">
        <v>90</v>
      </c>
      <c r="D340" s="3" t="s">
        <v>68</v>
      </c>
      <c r="E340" s="5">
        <v>45790</v>
      </c>
      <c r="F340" s="5">
        <v>45460</v>
      </c>
      <c r="G340" s="3" t="s">
        <v>942</v>
      </c>
      <c r="H340" s="3" t="s">
        <v>28</v>
      </c>
      <c r="I340" s="2">
        <v>145.78</v>
      </c>
      <c r="J340" s="3" t="s">
        <v>35</v>
      </c>
      <c r="K340">
        <f t="shared" si="10"/>
        <v>2025</v>
      </c>
      <c r="L340" t="str">
        <f t="shared" si="11"/>
        <v>81-90</v>
      </c>
      <c r="M340">
        <f>Table2[[#This Row],[appointment_date]]-Table2[[#This Row],[booking_date]]</f>
        <v>330</v>
      </c>
    </row>
    <row r="341" spans="1:13" x14ac:dyDescent="0.25">
      <c r="A341" s="4">
        <v>1047</v>
      </c>
      <c r="B341" s="3" t="s">
        <v>944</v>
      </c>
      <c r="C341" s="4">
        <v>87</v>
      </c>
      <c r="D341" s="3" t="s">
        <v>37</v>
      </c>
      <c r="E341" s="5">
        <v>45936</v>
      </c>
      <c r="F341" s="5">
        <v>45628</v>
      </c>
      <c r="G341" s="3" t="s">
        <v>945</v>
      </c>
      <c r="H341" s="3" t="s">
        <v>28</v>
      </c>
      <c r="I341" s="2">
        <v>135.41</v>
      </c>
      <c r="J341" s="3" t="s">
        <v>30</v>
      </c>
      <c r="K341">
        <f t="shared" si="10"/>
        <v>2025</v>
      </c>
      <c r="L341" t="str">
        <f t="shared" si="11"/>
        <v>81-90</v>
      </c>
      <c r="M341">
        <f>Table2[[#This Row],[appointment_date]]-Table2[[#This Row],[booking_date]]</f>
        <v>308</v>
      </c>
    </row>
    <row r="342" spans="1:13" x14ac:dyDescent="0.25">
      <c r="A342" s="4">
        <v>1044</v>
      </c>
      <c r="B342" s="3" t="s">
        <v>946</v>
      </c>
      <c r="C342" s="4">
        <v>74</v>
      </c>
      <c r="D342" s="3" t="s">
        <v>37</v>
      </c>
      <c r="E342" s="5">
        <v>45749</v>
      </c>
      <c r="F342" s="5">
        <v>45676</v>
      </c>
      <c r="G342" s="3" t="s">
        <v>947</v>
      </c>
      <c r="H342" s="3" t="s">
        <v>18</v>
      </c>
      <c r="I342" s="2">
        <v>145</v>
      </c>
      <c r="J342" s="3" t="s">
        <v>30</v>
      </c>
      <c r="K342">
        <f t="shared" si="10"/>
        <v>2025</v>
      </c>
      <c r="L342" t="str">
        <f t="shared" si="11"/>
        <v>71-80</v>
      </c>
      <c r="M342">
        <f>Table2[[#This Row],[appointment_date]]-Table2[[#This Row],[booking_date]]</f>
        <v>73</v>
      </c>
    </row>
    <row r="343" spans="1:13" x14ac:dyDescent="0.25">
      <c r="A343" s="4">
        <v>1049</v>
      </c>
      <c r="B343" s="3" t="s">
        <v>949</v>
      </c>
      <c r="C343" s="4">
        <v>65</v>
      </c>
      <c r="D343" s="3" t="s">
        <v>37</v>
      </c>
      <c r="E343" s="5">
        <v>46070</v>
      </c>
      <c r="F343" s="5">
        <v>45443</v>
      </c>
      <c r="G343" s="3" t="s">
        <v>950</v>
      </c>
      <c r="H343" s="3" t="s">
        <v>13</v>
      </c>
      <c r="I343" s="2">
        <v>205.16</v>
      </c>
      <c r="J343" s="3" t="s">
        <v>35</v>
      </c>
      <c r="K343">
        <f t="shared" si="10"/>
        <v>2026</v>
      </c>
      <c r="L343" t="str">
        <f t="shared" si="11"/>
        <v>61-70</v>
      </c>
      <c r="M343">
        <f>Table2[[#This Row],[appointment_date]]-Table2[[#This Row],[booking_date]]</f>
        <v>627</v>
      </c>
    </row>
    <row r="344" spans="1:13" x14ac:dyDescent="0.25">
      <c r="A344" s="4">
        <v>1095</v>
      </c>
      <c r="B344" s="3" t="s">
        <v>951</v>
      </c>
      <c r="C344" s="4">
        <v>53</v>
      </c>
      <c r="D344" s="3" t="s">
        <v>37</v>
      </c>
      <c r="E344" s="5">
        <v>46104</v>
      </c>
      <c r="F344" s="5">
        <v>45749</v>
      </c>
      <c r="G344" s="3" t="s">
        <v>952</v>
      </c>
      <c r="H344" s="3" t="s">
        <v>13</v>
      </c>
      <c r="I344" s="2" t="s">
        <v>2693</v>
      </c>
      <c r="J344" s="3" t="s">
        <v>35</v>
      </c>
      <c r="K344">
        <f t="shared" si="10"/>
        <v>2026</v>
      </c>
      <c r="L344" t="str">
        <f t="shared" si="11"/>
        <v>51-60</v>
      </c>
      <c r="M344">
        <f>Table2[[#This Row],[appointment_date]]-Table2[[#This Row],[booking_date]]</f>
        <v>355</v>
      </c>
    </row>
    <row r="345" spans="1:13" x14ac:dyDescent="0.25">
      <c r="A345" s="4">
        <v>1098</v>
      </c>
      <c r="B345" s="3" t="s">
        <v>953</v>
      </c>
      <c r="C345" s="4">
        <v>48</v>
      </c>
      <c r="D345" s="3" t="s">
        <v>37</v>
      </c>
      <c r="E345" s="5">
        <v>46027</v>
      </c>
      <c r="F345" s="5">
        <v>45807</v>
      </c>
      <c r="G345" s="3" t="s">
        <v>954</v>
      </c>
      <c r="H345" s="3" t="s">
        <v>28</v>
      </c>
      <c r="I345" s="2">
        <v>296.43</v>
      </c>
      <c r="J345" s="3" t="s">
        <v>35</v>
      </c>
      <c r="K345">
        <f t="shared" si="10"/>
        <v>2026</v>
      </c>
      <c r="L345" t="str">
        <f t="shared" si="11"/>
        <v>41-50</v>
      </c>
      <c r="M345">
        <f>Table2[[#This Row],[appointment_date]]-Table2[[#This Row],[booking_date]]</f>
        <v>220</v>
      </c>
    </row>
    <row r="346" spans="1:13" x14ac:dyDescent="0.25">
      <c r="A346" s="4">
        <v>1066</v>
      </c>
      <c r="B346" s="3" t="s">
        <v>955</v>
      </c>
      <c r="C346" s="4">
        <v>33</v>
      </c>
      <c r="D346" s="3" t="s">
        <v>68</v>
      </c>
      <c r="E346" s="5">
        <v>45840</v>
      </c>
      <c r="F346" s="5">
        <v>45518</v>
      </c>
      <c r="G346" s="3" t="s">
        <v>956</v>
      </c>
      <c r="H346" s="3" t="s">
        <v>28</v>
      </c>
      <c r="I346" s="2">
        <v>233.98</v>
      </c>
      <c r="J346" s="3" t="s">
        <v>30</v>
      </c>
      <c r="K346">
        <f t="shared" si="10"/>
        <v>2025</v>
      </c>
      <c r="L346" t="str">
        <f t="shared" si="11"/>
        <v>31-40</v>
      </c>
      <c r="M346">
        <f>Table2[[#This Row],[appointment_date]]-Table2[[#This Row],[booking_date]]</f>
        <v>322</v>
      </c>
    </row>
    <row r="347" spans="1:13" x14ac:dyDescent="0.25">
      <c r="A347" s="4">
        <v>1014</v>
      </c>
      <c r="B347" s="3" t="s">
        <v>957</v>
      </c>
      <c r="C347" s="4">
        <v>90</v>
      </c>
      <c r="D347" s="3"/>
      <c r="E347" s="5">
        <v>46065</v>
      </c>
      <c r="F347" s="5">
        <v>45518</v>
      </c>
      <c r="G347" s="3" t="s">
        <v>958</v>
      </c>
      <c r="H347" s="3" t="s">
        <v>18</v>
      </c>
      <c r="I347" s="2">
        <v>531.26</v>
      </c>
      <c r="J347" s="3" t="s">
        <v>30</v>
      </c>
      <c r="K347">
        <f t="shared" si="10"/>
        <v>2026</v>
      </c>
      <c r="L347" t="str">
        <f t="shared" si="11"/>
        <v>81-90</v>
      </c>
      <c r="M347">
        <f>Table2[[#This Row],[appointment_date]]-Table2[[#This Row],[booking_date]]</f>
        <v>547</v>
      </c>
    </row>
    <row r="348" spans="1:13" x14ac:dyDescent="0.25">
      <c r="A348" s="4">
        <v>1003</v>
      </c>
      <c r="B348" s="3" t="s">
        <v>960</v>
      </c>
      <c r="C348" s="4">
        <v>61</v>
      </c>
      <c r="D348" s="3" t="s">
        <v>68</v>
      </c>
      <c r="E348" s="5">
        <v>45869</v>
      </c>
      <c r="F348" s="5">
        <v>45770</v>
      </c>
      <c r="G348" s="3" t="s">
        <v>961</v>
      </c>
      <c r="H348" s="3" t="s">
        <v>24</v>
      </c>
      <c r="I348" s="2">
        <v>422.73</v>
      </c>
      <c r="J348" s="3" t="s">
        <v>30</v>
      </c>
      <c r="K348">
        <f t="shared" si="10"/>
        <v>2025</v>
      </c>
      <c r="L348" t="str">
        <f t="shared" si="11"/>
        <v>61-70</v>
      </c>
      <c r="M348">
        <f>Table2[[#This Row],[appointment_date]]-Table2[[#This Row],[booking_date]]</f>
        <v>99</v>
      </c>
    </row>
    <row r="349" spans="1:13" x14ac:dyDescent="0.25">
      <c r="A349" s="4">
        <v>1056</v>
      </c>
      <c r="B349" s="3" t="s">
        <v>963</v>
      </c>
      <c r="C349" s="4">
        <v>46</v>
      </c>
      <c r="D349" s="3" t="s">
        <v>68</v>
      </c>
      <c r="E349" s="5">
        <v>46093</v>
      </c>
      <c r="F349" s="5">
        <v>45880</v>
      </c>
      <c r="G349" s="3" t="s">
        <v>964</v>
      </c>
      <c r="H349" s="3" t="s">
        <v>24</v>
      </c>
      <c r="I349" s="2">
        <v>4.79</v>
      </c>
      <c r="J349" s="3" t="s">
        <v>30</v>
      </c>
      <c r="K349">
        <f t="shared" si="10"/>
        <v>2026</v>
      </c>
      <c r="L349" t="str">
        <f t="shared" si="11"/>
        <v>41-50</v>
      </c>
      <c r="M349">
        <f>Table2[[#This Row],[appointment_date]]-Table2[[#This Row],[booking_date]]</f>
        <v>213</v>
      </c>
    </row>
    <row r="350" spans="1:13" x14ac:dyDescent="0.25">
      <c r="A350" s="4">
        <v>1033</v>
      </c>
      <c r="B350" s="3" t="s">
        <v>966</v>
      </c>
      <c r="C350" s="4">
        <v>48</v>
      </c>
      <c r="D350" s="3" t="s">
        <v>37</v>
      </c>
      <c r="E350" s="5">
        <v>45838</v>
      </c>
      <c r="F350" s="5">
        <v>45681</v>
      </c>
      <c r="G350" s="3" t="s">
        <v>333</v>
      </c>
      <c r="H350" s="3" t="s">
        <v>18</v>
      </c>
      <c r="I350" s="2">
        <v>0.97</v>
      </c>
      <c r="J350" s="3" t="s">
        <v>30</v>
      </c>
      <c r="K350">
        <f t="shared" si="10"/>
        <v>2025</v>
      </c>
      <c r="L350" t="str">
        <f t="shared" si="11"/>
        <v>41-50</v>
      </c>
      <c r="M350">
        <f>Table2[[#This Row],[appointment_date]]-Table2[[#This Row],[booking_date]]</f>
        <v>157</v>
      </c>
    </row>
    <row r="351" spans="1:13" x14ac:dyDescent="0.25">
      <c r="A351" s="4">
        <v>1095</v>
      </c>
      <c r="B351" s="3" t="s">
        <v>968</v>
      </c>
      <c r="C351" s="4">
        <v>37</v>
      </c>
      <c r="D351" s="3" t="s">
        <v>68</v>
      </c>
      <c r="E351" s="5">
        <v>45951</v>
      </c>
      <c r="F351" s="5">
        <v>45876</v>
      </c>
      <c r="G351" s="3" t="s">
        <v>969</v>
      </c>
      <c r="H351" s="3" t="s">
        <v>13</v>
      </c>
      <c r="I351" s="2" t="s">
        <v>2693</v>
      </c>
      <c r="J351" s="3" t="s">
        <v>35</v>
      </c>
      <c r="K351">
        <f t="shared" si="10"/>
        <v>2025</v>
      </c>
      <c r="L351" t="str">
        <f t="shared" si="11"/>
        <v>31-40</v>
      </c>
      <c r="M351">
        <f>Table2[[#This Row],[appointment_date]]-Table2[[#This Row],[booking_date]]</f>
        <v>75</v>
      </c>
    </row>
    <row r="352" spans="1:13" x14ac:dyDescent="0.25">
      <c r="A352" s="4">
        <v>1036</v>
      </c>
      <c r="B352" s="3" t="s">
        <v>970</v>
      </c>
      <c r="C352" s="4">
        <v>27</v>
      </c>
      <c r="D352" s="3" t="s">
        <v>68</v>
      </c>
      <c r="E352" s="5">
        <v>46101</v>
      </c>
      <c r="F352" s="5">
        <v>46062</v>
      </c>
      <c r="G352" s="3" t="s">
        <v>971</v>
      </c>
      <c r="H352" s="3" t="s">
        <v>13</v>
      </c>
      <c r="I352" s="2">
        <v>282.67</v>
      </c>
      <c r="J352" s="3" t="s">
        <v>35</v>
      </c>
      <c r="K352">
        <f t="shared" si="10"/>
        <v>2026</v>
      </c>
      <c r="L352" t="str">
        <f t="shared" si="11"/>
        <v>18-30</v>
      </c>
      <c r="M352">
        <f>Table2[[#This Row],[appointment_date]]-Table2[[#This Row],[booking_date]]</f>
        <v>39</v>
      </c>
    </row>
    <row r="353" spans="1:13" x14ac:dyDescent="0.25">
      <c r="A353" s="4">
        <v>1082</v>
      </c>
      <c r="B353" s="3" t="s">
        <v>973</v>
      </c>
      <c r="C353" s="4">
        <v>29</v>
      </c>
      <c r="D353" s="3" t="s">
        <v>68</v>
      </c>
      <c r="E353" s="5">
        <v>45962</v>
      </c>
      <c r="F353" s="5">
        <v>45733</v>
      </c>
      <c r="G353" s="3" t="s">
        <v>974</v>
      </c>
      <c r="H353" s="3" t="s">
        <v>24</v>
      </c>
      <c r="I353" s="2">
        <v>366.49</v>
      </c>
      <c r="J353" s="3" t="s">
        <v>30</v>
      </c>
      <c r="K353">
        <f t="shared" si="10"/>
        <v>2025</v>
      </c>
      <c r="L353" t="str">
        <f t="shared" si="11"/>
        <v>18-30</v>
      </c>
      <c r="M353">
        <f>Table2[[#This Row],[appointment_date]]-Table2[[#This Row],[booking_date]]</f>
        <v>229</v>
      </c>
    </row>
    <row r="354" spans="1:13" x14ac:dyDescent="0.25">
      <c r="A354" s="4">
        <v>1063</v>
      </c>
      <c r="B354" s="3" t="s">
        <v>975</v>
      </c>
      <c r="C354" s="4">
        <v>36</v>
      </c>
      <c r="D354" s="3" t="s">
        <v>68</v>
      </c>
      <c r="E354" s="5">
        <v>45932</v>
      </c>
      <c r="F354" s="5">
        <v>45912</v>
      </c>
      <c r="G354" s="3" t="s">
        <v>976</v>
      </c>
      <c r="H354" s="3" t="s">
        <v>28</v>
      </c>
      <c r="I354" s="2">
        <v>2.63</v>
      </c>
      <c r="J354" s="3" t="s">
        <v>35</v>
      </c>
      <c r="K354">
        <f t="shared" si="10"/>
        <v>2025</v>
      </c>
      <c r="L354" t="str">
        <f t="shared" si="11"/>
        <v>31-40</v>
      </c>
      <c r="M354">
        <f>Table2[[#This Row],[appointment_date]]-Table2[[#This Row],[booking_date]]</f>
        <v>20</v>
      </c>
    </row>
    <row r="355" spans="1:13" x14ac:dyDescent="0.25">
      <c r="A355" s="4">
        <v>1003</v>
      </c>
      <c r="B355" s="3" t="s">
        <v>978</v>
      </c>
      <c r="C355" s="4">
        <v>29</v>
      </c>
      <c r="D355" s="3" t="s">
        <v>37</v>
      </c>
      <c r="E355" s="5">
        <v>46076</v>
      </c>
      <c r="F355" s="5">
        <v>45386</v>
      </c>
      <c r="G355" s="3" t="s">
        <v>979</v>
      </c>
      <c r="H355" s="3" t="s">
        <v>18</v>
      </c>
      <c r="I355" s="2">
        <v>0.61</v>
      </c>
      <c r="J355" s="3" t="s">
        <v>30</v>
      </c>
      <c r="K355">
        <f t="shared" si="10"/>
        <v>2026</v>
      </c>
      <c r="L355" t="str">
        <f t="shared" si="11"/>
        <v>18-30</v>
      </c>
      <c r="M355">
        <f>Table2[[#This Row],[appointment_date]]-Table2[[#This Row],[booking_date]]</f>
        <v>690</v>
      </c>
    </row>
    <row r="356" spans="1:13" x14ac:dyDescent="0.25">
      <c r="A356" s="4">
        <v>1005</v>
      </c>
      <c r="B356" s="3" t="s">
        <v>981</v>
      </c>
      <c r="C356" s="4">
        <v>64</v>
      </c>
      <c r="D356" s="3" t="s">
        <v>37</v>
      </c>
      <c r="E356" s="5">
        <v>45915</v>
      </c>
      <c r="F356" s="5">
        <v>45676</v>
      </c>
      <c r="G356" s="3" t="s">
        <v>982</v>
      </c>
      <c r="H356" s="3" t="s">
        <v>24</v>
      </c>
      <c r="I356" s="2">
        <v>149.33000000000001</v>
      </c>
      <c r="J356" s="3" t="s">
        <v>30</v>
      </c>
      <c r="K356">
        <f t="shared" si="10"/>
        <v>2025</v>
      </c>
      <c r="L356" t="str">
        <f t="shared" si="11"/>
        <v>61-70</v>
      </c>
      <c r="M356">
        <f>Table2[[#This Row],[appointment_date]]-Table2[[#This Row],[booking_date]]</f>
        <v>239</v>
      </c>
    </row>
    <row r="357" spans="1:13" x14ac:dyDescent="0.25">
      <c r="A357" s="4">
        <v>1058</v>
      </c>
      <c r="B357" s="3" t="s">
        <v>984</v>
      </c>
      <c r="C357" s="4">
        <v>36</v>
      </c>
      <c r="D357" s="3" t="s">
        <v>37</v>
      </c>
      <c r="E357" s="5">
        <v>46011</v>
      </c>
      <c r="F357" s="5">
        <v>45378</v>
      </c>
      <c r="G357" s="3" t="s">
        <v>985</v>
      </c>
      <c r="H357" s="3" t="s">
        <v>28</v>
      </c>
      <c r="I357" s="2">
        <v>4.25</v>
      </c>
      <c r="J357" s="3" t="s">
        <v>35</v>
      </c>
      <c r="K357">
        <f t="shared" si="10"/>
        <v>2025</v>
      </c>
      <c r="L357" t="str">
        <f t="shared" si="11"/>
        <v>31-40</v>
      </c>
      <c r="M357">
        <f>Table2[[#This Row],[appointment_date]]-Table2[[#This Row],[booking_date]]</f>
        <v>633</v>
      </c>
    </row>
    <row r="358" spans="1:13" x14ac:dyDescent="0.25">
      <c r="A358" s="4">
        <v>1061</v>
      </c>
      <c r="B358" s="3" t="s">
        <v>987</v>
      </c>
      <c r="C358" s="4">
        <v>23</v>
      </c>
      <c r="D358" s="3" t="s">
        <v>68</v>
      </c>
      <c r="E358" s="5">
        <v>46030</v>
      </c>
      <c r="F358" s="5">
        <v>45625</v>
      </c>
      <c r="G358" s="3" t="s">
        <v>988</v>
      </c>
      <c r="H358" s="3" t="s">
        <v>13</v>
      </c>
      <c r="I358" s="2">
        <v>258.42</v>
      </c>
      <c r="J358" s="3" t="s">
        <v>30</v>
      </c>
      <c r="K358">
        <f t="shared" si="10"/>
        <v>2026</v>
      </c>
      <c r="L358" t="str">
        <f t="shared" si="11"/>
        <v>18-30</v>
      </c>
      <c r="M358">
        <f>Table2[[#This Row],[appointment_date]]-Table2[[#This Row],[booking_date]]</f>
        <v>405</v>
      </c>
    </row>
    <row r="359" spans="1:13" x14ac:dyDescent="0.25">
      <c r="A359" s="4">
        <v>1004</v>
      </c>
      <c r="B359" s="3" t="s">
        <v>990</v>
      </c>
      <c r="C359" s="4">
        <v>63</v>
      </c>
      <c r="D359" s="3" t="s">
        <v>37</v>
      </c>
      <c r="E359" s="5">
        <v>45790</v>
      </c>
      <c r="F359" s="5">
        <v>45404</v>
      </c>
      <c r="G359" s="3" t="s">
        <v>991</v>
      </c>
      <c r="H359" s="3" t="s">
        <v>28</v>
      </c>
      <c r="I359" s="2">
        <v>332.47</v>
      </c>
      <c r="J359" s="3" t="s">
        <v>30</v>
      </c>
      <c r="K359">
        <f t="shared" si="10"/>
        <v>2025</v>
      </c>
      <c r="L359" t="str">
        <f t="shared" si="11"/>
        <v>61-70</v>
      </c>
      <c r="M359">
        <f>Table2[[#This Row],[appointment_date]]-Table2[[#This Row],[booking_date]]</f>
        <v>386</v>
      </c>
    </row>
    <row r="360" spans="1:13" x14ac:dyDescent="0.25">
      <c r="A360" s="4">
        <v>1057</v>
      </c>
      <c r="B360" s="3" t="s">
        <v>993</v>
      </c>
      <c r="C360" s="4">
        <v>58</v>
      </c>
      <c r="D360" s="3" t="s">
        <v>68</v>
      </c>
      <c r="E360" s="5">
        <v>45908</v>
      </c>
      <c r="F360" s="5">
        <v>45712</v>
      </c>
      <c r="G360" s="3" t="s">
        <v>994</v>
      </c>
      <c r="H360" s="3" t="s">
        <v>13</v>
      </c>
      <c r="I360" s="2">
        <v>86.17</v>
      </c>
      <c r="J360" s="3" t="s">
        <v>30</v>
      </c>
      <c r="K360">
        <f t="shared" si="10"/>
        <v>2025</v>
      </c>
      <c r="L360" t="str">
        <f t="shared" si="11"/>
        <v>51-60</v>
      </c>
      <c r="M360">
        <f>Table2[[#This Row],[appointment_date]]-Table2[[#This Row],[booking_date]]</f>
        <v>196</v>
      </c>
    </row>
    <row r="361" spans="1:13" x14ac:dyDescent="0.25">
      <c r="A361" s="4">
        <v>1036</v>
      </c>
      <c r="B361" s="3" t="s">
        <v>996</v>
      </c>
      <c r="C361" s="4">
        <v>38</v>
      </c>
      <c r="D361" s="3" t="s">
        <v>37</v>
      </c>
      <c r="E361" s="5">
        <v>45978</v>
      </c>
      <c r="F361" s="5">
        <v>45574</v>
      </c>
      <c r="G361" s="3" t="s">
        <v>997</v>
      </c>
      <c r="H361" s="3" t="s">
        <v>24</v>
      </c>
      <c r="I361" s="2">
        <v>113.23</v>
      </c>
      <c r="J361" s="3" t="s">
        <v>35</v>
      </c>
      <c r="K361">
        <f t="shared" si="10"/>
        <v>2025</v>
      </c>
      <c r="L361" t="str">
        <f t="shared" si="11"/>
        <v>31-40</v>
      </c>
      <c r="M361">
        <f>Table2[[#This Row],[appointment_date]]-Table2[[#This Row],[booking_date]]</f>
        <v>404</v>
      </c>
    </row>
    <row r="362" spans="1:13" x14ac:dyDescent="0.25">
      <c r="A362" s="4">
        <v>1095</v>
      </c>
      <c r="B362" s="3" t="s">
        <v>999</v>
      </c>
      <c r="C362" s="4">
        <v>60</v>
      </c>
      <c r="D362" s="3" t="s">
        <v>37</v>
      </c>
      <c r="E362" s="5">
        <v>46013</v>
      </c>
      <c r="F362" s="5">
        <v>45429</v>
      </c>
      <c r="G362" s="3" t="s">
        <v>1000</v>
      </c>
      <c r="H362" s="3" t="s">
        <v>28</v>
      </c>
      <c r="I362" s="2">
        <v>2.25</v>
      </c>
      <c r="J362" s="3" t="s">
        <v>35</v>
      </c>
      <c r="K362">
        <f t="shared" si="10"/>
        <v>2025</v>
      </c>
      <c r="L362" t="str">
        <f t="shared" si="11"/>
        <v>51-60</v>
      </c>
      <c r="M362">
        <f>Table2[[#This Row],[appointment_date]]-Table2[[#This Row],[booking_date]]</f>
        <v>584</v>
      </c>
    </row>
    <row r="363" spans="1:13" x14ac:dyDescent="0.25">
      <c r="A363" s="4">
        <v>1036</v>
      </c>
      <c r="B363" s="3" t="s">
        <v>1002</v>
      </c>
      <c r="C363" s="4">
        <v>87</v>
      </c>
      <c r="D363" s="3" t="s">
        <v>68</v>
      </c>
      <c r="E363" s="5">
        <v>45869</v>
      </c>
      <c r="F363" s="5">
        <v>45598</v>
      </c>
      <c r="G363" s="3" t="s">
        <v>1003</v>
      </c>
      <c r="H363" s="3" t="s">
        <v>13</v>
      </c>
      <c r="I363" s="2">
        <v>369.12</v>
      </c>
      <c r="J363" s="3" t="s">
        <v>35</v>
      </c>
      <c r="K363">
        <f t="shared" si="10"/>
        <v>2025</v>
      </c>
      <c r="L363" t="str">
        <f t="shared" si="11"/>
        <v>81-90</v>
      </c>
      <c r="M363">
        <f>Table2[[#This Row],[appointment_date]]-Table2[[#This Row],[booking_date]]</f>
        <v>271</v>
      </c>
    </row>
    <row r="364" spans="1:13" x14ac:dyDescent="0.25">
      <c r="A364" s="4">
        <v>1049</v>
      </c>
      <c r="B364" s="3" t="s">
        <v>1004</v>
      </c>
      <c r="C364" s="4">
        <v>58</v>
      </c>
      <c r="D364" s="3" t="s">
        <v>37</v>
      </c>
      <c r="E364" s="5">
        <v>45876</v>
      </c>
      <c r="F364" s="5">
        <v>45659</v>
      </c>
      <c r="G364" s="3" t="s">
        <v>1005</v>
      </c>
      <c r="H364" s="3" t="s">
        <v>13</v>
      </c>
      <c r="I364" s="2">
        <v>5.22</v>
      </c>
      <c r="J364" s="3" t="s">
        <v>35</v>
      </c>
      <c r="K364">
        <f t="shared" si="10"/>
        <v>2025</v>
      </c>
      <c r="L364" t="str">
        <f t="shared" si="11"/>
        <v>51-60</v>
      </c>
      <c r="M364">
        <f>Table2[[#This Row],[appointment_date]]-Table2[[#This Row],[booking_date]]</f>
        <v>217</v>
      </c>
    </row>
    <row r="365" spans="1:13" x14ac:dyDescent="0.25">
      <c r="A365" s="4">
        <v>1036</v>
      </c>
      <c r="B365" s="3" t="s">
        <v>1007</v>
      </c>
      <c r="C365" s="4">
        <v>20</v>
      </c>
      <c r="D365" s="3" t="s">
        <v>68</v>
      </c>
      <c r="E365" s="5">
        <v>45895</v>
      </c>
      <c r="F365" s="5">
        <v>45666</v>
      </c>
      <c r="G365" s="3" t="s">
        <v>1008</v>
      </c>
      <c r="H365" s="3" t="s">
        <v>13</v>
      </c>
      <c r="I365" s="2">
        <v>320.29000000000002</v>
      </c>
      <c r="J365" s="3" t="s">
        <v>30</v>
      </c>
      <c r="K365">
        <f t="shared" si="10"/>
        <v>2025</v>
      </c>
      <c r="L365" t="str">
        <f t="shared" si="11"/>
        <v>18-30</v>
      </c>
      <c r="M365">
        <f>Table2[[#This Row],[appointment_date]]-Table2[[#This Row],[booking_date]]</f>
        <v>229</v>
      </c>
    </row>
    <row r="366" spans="1:13" x14ac:dyDescent="0.25">
      <c r="A366" s="4">
        <v>1050</v>
      </c>
      <c r="B366" s="3" t="s">
        <v>1010</v>
      </c>
      <c r="C366" s="4">
        <v>81</v>
      </c>
      <c r="D366" s="3"/>
      <c r="E366" s="5">
        <v>46070</v>
      </c>
      <c r="F366" s="5">
        <v>45750</v>
      </c>
      <c r="G366" s="3" t="s">
        <v>312</v>
      </c>
      <c r="H366" s="3" t="s">
        <v>24</v>
      </c>
      <c r="I366" s="2">
        <v>234.38</v>
      </c>
      <c r="J366" s="3" t="s">
        <v>35</v>
      </c>
      <c r="K366">
        <f t="shared" si="10"/>
        <v>2026</v>
      </c>
      <c r="L366" t="str">
        <f t="shared" si="11"/>
        <v>81-90</v>
      </c>
      <c r="M366">
        <f>Table2[[#This Row],[appointment_date]]-Table2[[#This Row],[booking_date]]</f>
        <v>320</v>
      </c>
    </row>
    <row r="367" spans="1:13" x14ac:dyDescent="0.25">
      <c r="A367" s="4">
        <v>1019</v>
      </c>
      <c r="B367" s="3" t="s">
        <v>1012</v>
      </c>
      <c r="C367" s="4">
        <v>38</v>
      </c>
      <c r="D367" s="3"/>
      <c r="E367" s="5">
        <v>46011</v>
      </c>
      <c r="F367" s="5">
        <v>45883</v>
      </c>
      <c r="G367" s="3" t="s">
        <v>1013</v>
      </c>
      <c r="H367" s="3" t="s">
        <v>18</v>
      </c>
      <c r="I367" s="2">
        <v>3.83</v>
      </c>
      <c r="J367" s="3" t="s">
        <v>35</v>
      </c>
      <c r="K367">
        <f t="shared" si="10"/>
        <v>2025</v>
      </c>
      <c r="L367" t="str">
        <f t="shared" si="11"/>
        <v>31-40</v>
      </c>
      <c r="M367">
        <f>Table2[[#This Row],[appointment_date]]-Table2[[#This Row],[booking_date]]</f>
        <v>128</v>
      </c>
    </row>
    <row r="368" spans="1:13" x14ac:dyDescent="0.25">
      <c r="A368" s="4">
        <v>1082</v>
      </c>
      <c r="B368" s="3" t="s">
        <v>1015</v>
      </c>
      <c r="C368" s="4">
        <v>56</v>
      </c>
      <c r="D368" s="3" t="s">
        <v>68</v>
      </c>
      <c r="E368" s="5">
        <v>45917</v>
      </c>
      <c r="F368" s="5">
        <v>45888</v>
      </c>
      <c r="G368" s="3" t="s">
        <v>1016</v>
      </c>
      <c r="H368" s="3" t="s">
        <v>13</v>
      </c>
      <c r="I368" s="2" t="s">
        <v>2693</v>
      </c>
      <c r="J368" s="3" t="s">
        <v>35</v>
      </c>
      <c r="K368">
        <f t="shared" si="10"/>
        <v>2025</v>
      </c>
      <c r="L368" t="str">
        <f t="shared" si="11"/>
        <v>51-60</v>
      </c>
      <c r="M368">
        <f>Table2[[#This Row],[appointment_date]]-Table2[[#This Row],[booking_date]]</f>
        <v>29</v>
      </c>
    </row>
    <row r="369" spans="1:13" x14ac:dyDescent="0.25">
      <c r="A369" s="4">
        <v>1074</v>
      </c>
      <c r="B369" s="3" t="s">
        <v>1017</v>
      </c>
      <c r="C369" s="4">
        <v>67</v>
      </c>
      <c r="D369" s="3" t="s">
        <v>37</v>
      </c>
      <c r="E369" s="5">
        <v>45905</v>
      </c>
      <c r="F369" s="5">
        <v>45431</v>
      </c>
      <c r="G369" s="3" t="s">
        <v>1018</v>
      </c>
      <c r="H369" s="3" t="s">
        <v>24</v>
      </c>
      <c r="I369" s="2">
        <v>109.84</v>
      </c>
      <c r="J369" s="3" t="s">
        <v>35</v>
      </c>
      <c r="K369">
        <f t="shared" si="10"/>
        <v>2025</v>
      </c>
      <c r="L369" t="str">
        <f t="shared" si="11"/>
        <v>61-70</v>
      </c>
      <c r="M369">
        <f>Table2[[#This Row],[appointment_date]]-Table2[[#This Row],[booking_date]]</f>
        <v>474</v>
      </c>
    </row>
    <row r="370" spans="1:13" x14ac:dyDescent="0.25">
      <c r="A370" s="4">
        <v>1084</v>
      </c>
      <c r="B370" s="3" t="s">
        <v>1020</v>
      </c>
      <c r="C370" s="4">
        <v>64</v>
      </c>
      <c r="D370" s="3" t="s">
        <v>68</v>
      </c>
      <c r="E370" s="5">
        <v>46022</v>
      </c>
      <c r="F370" s="5">
        <v>45766</v>
      </c>
      <c r="G370" s="3" t="s">
        <v>1021</v>
      </c>
      <c r="H370" s="3" t="s">
        <v>18</v>
      </c>
      <c r="I370" s="2">
        <v>1.69</v>
      </c>
      <c r="J370" s="3" t="s">
        <v>35</v>
      </c>
      <c r="K370">
        <f t="shared" si="10"/>
        <v>2025</v>
      </c>
      <c r="L370" t="str">
        <f t="shared" si="11"/>
        <v>61-70</v>
      </c>
      <c r="M370">
        <f>Table2[[#This Row],[appointment_date]]-Table2[[#This Row],[booking_date]]</f>
        <v>256</v>
      </c>
    </row>
    <row r="371" spans="1:13" x14ac:dyDescent="0.25">
      <c r="A371" s="4">
        <v>1084</v>
      </c>
      <c r="B371" s="3" t="s">
        <v>1023</v>
      </c>
      <c r="C371" s="4">
        <v>79</v>
      </c>
      <c r="D371" s="3" t="s">
        <v>37</v>
      </c>
      <c r="E371" s="5">
        <v>46014</v>
      </c>
      <c r="F371" s="5">
        <v>45669</v>
      </c>
      <c r="G371" s="3" t="s">
        <v>1024</v>
      </c>
      <c r="H371" s="3" t="s">
        <v>24</v>
      </c>
      <c r="I371" s="2">
        <v>168.74</v>
      </c>
      <c r="J371" s="3" t="s">
        <v>35</v>
      </c>
      <c r="K371">
        <f t="shared" si="10"/>
        <v>2025</v>
      </c>
      <c r="L371" t="str">
        <f t="shared" si="11"/>
        <v>71-80</v>
      </c>
      <c r="M371">
        <f>Table2[[#This Row],[appointment_date]]-Table2[[#This Row],[booking_date]]</f>
        <v>345</v>
      </c>
    </row>
    <row r="372" spans="1:13" x14ac:dyDescent="0.25">
      <c r="A372" s="4">
        <v>1004</v>
      </c>
      <c r="B372" s="3" t="s">
        <v>1026</v>
      </c>
      <c r="C372" s="4">
        <v>27</v>
      </c>
      <c r="D372" s="3" t="s">
        <v>68</v>
      </c>
      <c r="E372" s="5">
        <v>45895</v>
      </c>
      <c r="F372" s="5">
        <v>45545</v>
      </c>
      <c r="G372" s="3" t="s">
        <v>1027</v>
      </c>
      <c r="H372" s="3" t="s">
        <v>24</v>
      </c>
      <c r="I372" s="2" t="s">
        <v>2693</v>
      </c>
      <c r="J372" s="3" t="s">
        <v>35</v>
      </c>
      <c r="K372">
        <f t="shared" si="10"/>
        <v>2025</v>
      </c>
      <c r="L372" t="str">
        <f t="shared" si="11"/>
        <v>18-30</v>
      </c>
      <c r="M372">
        <f>Table2[[#This Row],[appointment_date]]-Table2[[#This Row],[booking_date]]</f>
        <v>350</v>
      </c>
    </row>
    <row r="373" spans="1:13" x14ac:dyDescent="0.25">
      <c r="A373" s="4">
        <v>1006</v>
      </c>
      <c r="B373" s="3" t="s">
        <v>1028</v>
      </c>
      <c r="C373" s="4">
        <v>42</v>
      </c>
      <c r="D373" s="3" t="s">
        <v>68</v>
      </c>
      <c r="E373" s="5">
        <v>45965</v>
      </c>
      <c r="F373" s="5">
        <v>45601</v>
      </c>
      <c r="G373" s="3" t="s">
        <v>1029</v>
      </c>
      <c r="H373" s="3" t="s">
        <v>18</v>
      </c>
      <c r="I373" s="2" t="s">
        <v>2693</v>
      </c>
      <c r="J373" s="3" t="s">
        <v>35</v>
      </c>
      <c r="K373">
        <f t="shared" si="10"/>
        <v>2025</v>
      </c>
      <c r="L373" t="str">
        <f t="shared" si="11"/>
        <v>41-50</v>
      </c>
      <c r="M373">
        <f>Table2[[#This Row],[appointment_date]]-Table2[[#This Row],[booking_date]]</f>
        <v>364</v>
      </c>
    </row>
    <row r="374" spans="1:13" x14ac:dyDescent="0.25">
      <c r="A374" s="4">
        <v>1096</v>
      </c>
      <c r="B374" s="3" t="s">
        <v>1030</v>
      </c>
      <c r="C374" s="4">
        <v>83</v>
      </c>
      <c r="D374" s="3" t="s">
        <v>37</v>
      </c>
      <c r="E374" s="5">
        <v>46102</v>
      </c>
      <c r="F374" s="5">
        <v>46000</v>
      </c>
      <c r="G374" s="3" t="s">
        <v>1031</v>
      </c>
      <c r="H374" s="3" t="s">
        <v>24</v>
      </c>
      <c r="I374" s="2">
        <v>259.11</v>
      </c>
      <c r="J374" s="3" t="s">
        <v>35</v>
      </c>
      <c r="K374">
        <f t="shared" si="10"/>
        <v>2026</v>
      </c>
      <c r="L374" t="str">
        <f t="shared" si="11"/>
        <v>81-90</v>
      </c>
      <c r="M374">
        <f>Table2[[#This Row],[appointment_date]]-Table2[[#This Row],[booking_date]]</f>
        <v>102</v>
      </c>
    </row>
    <row r="375" spans="1:13" x14ac:dyDescent="0.25">
      <c r="A375" s="4">
        <v>1022</v>
      </c>
      <c r="B375" s="3" t="s">
        <v>1033</v>
      </c>
      <c r="C375" s="4">
        <v>19</v>
      </c>
      <c r="D375" s="3" t="s">
        <v>68</v>
      </c>
      <c r="E375" s="5">
        <v>45949</v>
      </c>
      <c r="F375" s="5">
        <v>45919</v>
      </c>
      <c r="G375" s="3" t="s">
        <v>1034</v>
      </c>
      <c r="H375" s="3" t="s">
        <v>18</v>
      </c>
      <c r="I375" s="2">
        <v>163.24</v>
      </c>
      <c r="J375" s="3" t="s">
        <v>35</v>
      </c>
      <c r="K375">
        <f t="shared" si="10"/>
        <v>2025</v>
      </c>
      <c r="L375" t="str">
        <f t="shared" si="11"/>
        <v>18-30</v>
      </c>
      <c r="M375">
        <f>Table2[[#This Row],[appointment_date]]-Table2[[#This Row],[booking_date]]</f>
        <v>30</v>
      </c>
    </row>
    <row r="376" spans="1:13" x14ac:dyDescent="0.25">
      <c r="A376" s="4">
        <v>1089</v>
      </c>
      <c r="B376" s="3" t="s">
        <v>1036</v>
      </c>
      <c r="C376" s="4">
        <v>35</v>
      </c>
      <c r="D376" s="3" t="s">
        <v>37</v>
      </c>
      <c r="E376" s="5">
        <v>45959</v>
      </c>
      <c r="F376" s="5">
        <v>45906</v>
      </c>
      <c r="G376" s="3" t="s">
        <v>1037</v>
      </c>
      <c r="H376" s="3" t="s">
        <v>13</v>
      </c>
      <c r="I376" s="2">
        <v>65.58</v>
      </c>
      <c r="J376" s="3" t="s">
        <v>30</v>
      </c>
      <c r="K376">
        <f t="shared" si="10"/>
        <v>2025</v>
      </c>
      <c r="L376" t="str">
        <f t="shared" si="11"/>
        <v>31-40</v>
      </c>
      <c r="M376">
        <f>Table2[[#This Row],[appointment_date]]-Table2[[#This Row],[booking_date]]</f>
        <v>53</v>
      </c>
    </row>
    <row r="377" spans="1:13" x14ac:dyDescent="0.25">
      <c r="A377" s="4">
        <v>1058</v>
      </c>
      <c r="B377" s="3" t="s">
        <v>1039</v>
      </c>
      <c r="C377" s="4">
        <v>29</v>
      </c>
      <c r="D377" s="3" t="s">
        <v>68</v>
      </c>
      <c r="E377" s="5">
        <v>45807</v>
      </c>
      <c r="F377" s="5">
        <v>45377</v>
      </c>
      <c r="G377" s="3" t="s">
        <v>1040</v>
      </c>
      <c r="H377" s="3" t="s">
        <v>28</v>
      </c>
      <c r="I377" s="2">
        <v>481.22</v>
      </c>
      <c r="J377" s="3" t="s">
        <v>35</v>
      </c>
      <c r="K377">
        <f t="shared" si="10"/>
        <v>2025</v>
      </c>
      <c r="L377" t="str">
        <f t="shared" si="11"/>
        <v>18-30</v>
      </c>
      <c r="M377">
        <f>Table2[[#This Row],[appointment_date]]-Table2[[#This Row],[booking_date]]</f>
        <v>430</v>
      </c>
    </row>
    <row r="378" spans="1:13" x14ac:dyDescent="0.25">
      <c r="A378" s="4">
        <v>1024</v>
      </c>
      <c r="B378" s="3" t="s">
        <v>1041</v>
      </c>
      <c r="C378" s="4">
        <v>55</v>
      </c>
      <c r="D378" s="3" t="s">
        <v>37</v>
      </c>
      <c r="E378" s="5">
        <v>45942</v>
      </c>
      <c r="F378" s="5">
        <v>45593</v>
      </c>
      <c r="G378" s="3" t="s">
        <v>1042</v>
      </c>
      <c r="H378" s="3" t="s">
        <v>28</v>
      </c>
      <c r="I378" s="2">
        <v>63.13</v>
      </c>
      <c r="J378" s="3" t="s">
        <v>35</v>
      </c>
      <c r="K378">
        <f t="shared" si="10"/>
        <v>2025</v>
      </c>
      <c r="L378" t="str">
        <f t="shared" si="11"/>
        <v>51-60</v>
      </c>
      <c r="M378">
        <f>Table2[[#This Row],[appointment_date]]-Table2[[#This Row],[booking_date]]</f>
        <v>349</v>
      </c>
    </row>
    <row r="379" spans="1:13" x14ac:dyDescent="0.25">
      <c r="A379" s="4">
        <v>1016</v>
      </c>
      <c r="B379" s="3" t="s">
        <v>1044</v>
      </c>
      <c r="C379" s="4">
        <v>81</v>
      </c>
      <c r="D379" s="3" t="s">
        <v>37</v>
      </c>
      <c r="E379" s="5">
        <v>45859</v>
      </c>
      <c r="F379" s="5">
        <v>45481</v>
      </c>
      <c r="G379" s="3" t="s">
        <v>1045</v>
      </c>
      <c r="H379" s="3" t="s">
        <v>28</v>
      </c>
      <c r="I379" s="2">
        <v>606.83000000000004</v>
      </c>
      <c r="J379" s="3" t="s">
        <v>35</v>
      </c>
      <c r="K379">
        <f t="shared" si="10"/>
        <v>2025</v>
      </c>
      <c r="L379" t="str">
        <f t="shared" si="11"/>
        <v>81-90</v>
      </c>
      <c r="M379">
        <f>Table2[[#This Row],[appointment_date]]-Table2[[#This Row],[booking_date]]</f>
        <v>378</v>
      </c>
    </row>
    <row r="380" spans="1:13" x14ac:dyDescent="0.25">
      <c r="A380" s="4">
        <v>1022</v>
      </c>
      <c r="B380" s="3" t="s">
        <v>1047</v>
      </c>
      <c r="C380" s="4">
        <v>56</v>
      </c>
      <c r="D380" s="3" t="s">
        <v>68</v>
      </c>
      <c r="E380" s="5">
        <v>45824</v>
      </c>
      <c r="F380" s="5">
        <v>45443</v>
      </c>
      <c r="G380" s="3" t="s">
        <v>1048</v>
      </c>
      <c r="H380" s="3" t="s">
        <v>13</v>
      </c>
      <c r="I380" s="2">
        <v>157.36000000000001</v>
      </c>
      <c r="J380" s="3" t="s">
        <v>30</v>
      </c>
      <c r="K380">
        <f t="shared" si="10"/>
        <v>2025</v>
      </c>
      <c r="L380" t="str">
        <f t="shared" si="11"/>
        <v>51-60</v>
      </c>
      <c r="M380">
        <f>Table2[[#This Row],[appointment_date]]-Table2[[#This Row],[booking_date]]</f>
        <v>381</v>
      </c>
    </row>
    <row r="381" spans="1:13" x14ac:dyDescent="0.25">
      <c r="A381" s="4">
        <v>1088</v>
      </c>
      <c r="B381" s="3" t="s">
        <v>1049</v>
      </c>
      <c r="C381" s="4">
        <v>32</v>
      </c>
      <c r="D381" s="3"/>
      <c r="E381" s="5">
        <v>45860</v>
      </c>
      <c r="F381" s="5">
        <v>45394</v>
      </c>
      <c r="G381" s="3" t="s">
        <v>1050</v>
      </c>
      <c r="H381" s="3" t="s">
        <v>18</v>
      </c>
      <c r="I381" s="2">
        <v>69.13</v>
      </c>
      <c r="J381" s="3" t="s">
        <v>35</v>
      </c>
      <c r="K381">
        <f t="shared" si="10"/>
        <v>2025</v>
      </c>
      <c r="L381" t="str">
        <f t="shared" si="11"/>
        <v>31-40</v>
      </c>
      <c r="M381">
        <f>Table2[[#This Row],[appointment_date]]-Table2[[#This Row],[booking_date]]</f>
        <v>466</v>
      </c>
    </row>
    <row r="382" spans="1:13" x14ac:dyDescent="0.25">
      <c r="A382" s="4">
        <v>1016</v>
      </c>
      <c r="B382" s="3" t="s">
        <v>1051</v>
      </c>
      <c r="C382" s="4">
        <v>74</v>
      </c>
      <c r="D382" s="3" t="s">
        <v>68</v>
      </c>
      <c r="E382" s="5">
        <v>45997</v>
      </c>
      <c r="F382" s="5">
        <v>45569</v>
      </c>
      <c r="G382" s="3" t="s">
        <v>1052</v>
      </c>
      <c r="H382" s="3" t="s">
        <v>24</v>
      </c>
      <c r="I382" s="2">
        <v>63.43</v>
      </c>
      <c r="J382" s="3" t="s">
        <v>35</v>
      </c>
      <c r="K382">
        <f t="shared" si="10"/>
        <v>2025</v>
      </c>
      <c r="L382" t="str">
        <f t="shared" si="11"/>
        <v>71-80</v>
      </c>
      <c r="M382">
        <f>Table2[[#This Row],[appointment_date]]-Table2[[#This Row],[booking_date]]</f>
        <v>428</v>
      </c>
    </row>
    <row r="383" spans="1:13" x14ac:dyDescent="0.25">
      <c r="A383" s="4">
        <v>1039</v>
      </c>
      <c r="B383" s="3" t="s">
        <v>1054</v>
      </c>
      <c r="C383" s="4">
        <v>55</v>
      </c>
      <c r="D383" s="3" t="s">
        <v>68</v>
      </c>
      <c r="E383" s="5">
        <v>45748</v>
      </c>
      <c r="F383" s="5">
        <v>45548</v>
      </c>
      <c r="G383" s="3" t="s">
        <v>1055</v>
      </c>
      <c r="H383" s="3" t="s">
        <v>18</v>
      </c>
      <c r="I383" s="2">
        <v>432.84</v>
      </c>
      <c r="J383" s="3" t="s">
        <v>30</v>
      </c>
      <c r="K383">
        <f t="shared" si="10"/>
        <v>2025</v>
      </c>
      <c r="L383" t="str">
        <f t="shared" si="11"/>
        <v>51-60</v>
      </c>
      <c r="M383">
        <f>Table2[[#This Row],[appointment_date]]-Table2[[#This Row],[booking_date]]</f>
        <v>200</v>
      </c>
    </row>
    <row r="384" spans="1:13" x14ac:dyDescent="0.25">
      <c r="A384" s="4">
        <v>1075</v>
      </c>
      <c r="B384" s="3" t="s">
        <v>1056</v>
      </c>
      <c r="C384" s="4">
        <v>27</v>
      </c>
      <c r="D384" s="3" t="s">
        <v>37</v>
      </c>
      <c r="E384" s="5">
        <v>45754</v>
      </c>
      <c r="F384" s="5">
        <v>45384</v>
      </c>
      <c r="G384" s="3" t="s">
        <v>1057</v>
      </c>
      <c r="H384" s="3" t="s">
        <v>18</v>
      </c>
      <c r="I384" s="2">
        <v>277.7</v>
      </c>
      <c r="J384" s="3" t="s">
        <v>30</v>
      </c>
      <c r="K384">
        <f t="shared" si="10"/>
        <v>2025</v>
      </c>
      <c r="L384" t="str">
        <f t="shared" si="11"/>
        <v>18-30</v>
      </c>
      <c r="M384">
        <f>Table2[[#This Row],[appointment_date]]-Table2[[#This Row],[booking_date]]</f>
        <v>370</v>
      </c>
    </row>
    <row r="385" spans="1:13" x14ac:dyDescent="0.25">
      <c r="A385" s="4">
        <v>1013</v>
      </c>
      <c r="B385" s="3" t="s">
        <v>1059</v>
      </c>
      <c r="C385" s="4">
        <v>62</v>
      </c>
      <c r="D385" s="3" t="s">
        <v>37</v>
      </c>
      <c r="E385" s="5">
        <v>46024</v>
      </c>
      <c r="F385" s="5">
        <v>45714</v>
      </c>
      <c r="G385" s="3" t="s">
        <v>1060</v>
      </c>
      <c r="H385" s="3" t="s">
        <v>24</v>
      </c>
      <c r="I385" s="2">
        <v>413.25</v>
      </c>
      <c r="J385" s="3" t="s">
        <v>35</v>
      </c>
      <c r="K385">
        <f t="shared" si="10"/>
        <v>2026</v>
      </c>
      <c r="L385" t="str">
        <f t="shared" si="11"/>
        <v>61-70</v>
      </c>
      <c r="M385">
        <f>Table2[[#This Row],[appointment_date]]-Table2[[#This Row],[booking_date]]</f>
        <v>310</v>
      </c>
    </row>
    <row r="386" spans="1:13" x14ac:dyDescent="0.25">
      <c r="A386" s="4">
        <v>1089</v>
      </c>
      <c r="B386" s="3" t="s">
        <v>1061</v>
      </c>
      <c r="C386" s="4">
        <v>24</v>
      </c>
      <c r="D386" s="3" t="s">
        <v>68</v>
      </c>
      <c r="E386" s="5">
        <v>45916</v>
      </c>
      <c r="F386" s="5">
        <v>45673</v>
      </c>
      <c r="G386" s="3" t="s">
        <v>1062</v>
      </c>
      <c r="H386" s="3" t="s">
        <v>18</v>
      </c>
      <c r="I386" s="2">
        <v>73.59</v>
      </c>
      <c r="J386" s="3" t="s">
        <v>35</v>
      </c>
      <c r="K386">
        <f t="shared" si="10"/>
        <v>2025</v>
      </c>
      <c r="L386" t="str">
        <f t="shared" si="11"/>
        <v>18-30</v>
      </c>
      <c r="M386">
        <f>Table2[[#This Row],[appointment_date]]-Table2[[#This Row],[booking_date]]</f>
        <v>243</v>
      </c>
    </row>
    <row r="387" spans="1:13" x14ac:dyDescent="0.25">
      <c r="A387" s="4">
        <v>1084</v>
      </c>
      <c r="B387" s="3" t="s">
        <v>1063</v>
      </c>
      <c r="C387" s="4">
        <v>34</v>
      </c>
      <c r="D387" s="3" t="s">
        <v>37</v>
      </c>
      <c r="E387" s="5">
        <v>45998</v>
      </c>
      <c r="F387" s="5">
        <v>45941</v>
      </c>
      <c r="G387" s="3" t="s">
        <v>1064</v>
      </c>
      <c r="H387" s="3" t="s">
        <v>28</v>
      </c>
      <c r="I387" s="2">
        <v>5.13</v>
      </c>
      <c r="J387" s="3" t="s">
        <v>30</v>
      </c>
      <c r="K387">
        <f t="shared" ref="K387:K450" si="12">YEAR(E387)</f>
        <v>2025</v>
      </c>
      <c r="L387" t="str">
        <f t="shared" ref="L387:L450" si="13">IF(C387="","",IF(C387&lt;=30,"18-30",IF(C387&lt;=40,"31-40",IF(C387&lt;=50,"41-50",IF(C387&lt;=60,"51-60",IF(C387&lt;=70,"61-70",IF(C387&lt;=80,"71-80","81-90")))))))</f>
        <v>31-40</v>
      </c>
      <c r="M387">
        <f>Table2[[#This Row],[appointment_date]]-Table2[[#This Row],[booking_date]]</f>
        <v>57</v>
      </c>
    </row>
    <row r="388" spans="1:13" x14ac:dyDescent="0.25">
      <c r="A388" s="4">
        <v>1018</v>
      </c>
      <c r="B388" s="3" t="s">
        <v>1066</v>
      </c>
      <c r="C388" s="4">
        <v>68</v>
      </c>
      <c r="D388" s="3" t="s">
        <v>68</v>
      </c>
      <c r="E388" s="5">
        <v>45833</v>
      </c>
      <c r="F388" s="5">
        <v>45813</v>
      </c>
      <c r="G388" s="3" t="s">
        <v>1067</v>
      </c>
      <c r="H388" s="3" t="s">
        <v>13</v>
      </c>
      <c r="I388" s="2">
        <v>239.31</v>
      </c>
      <c r="J388" s="3" t="s">
        <v>35</v>
      </c>
      <c r="K388">
        <f t="shared" si="12"/>
        <v>2025</v>
      </c>
      <c r="L388" t="str">
        <f t="shared" si="13"/>
        <v>61-70</v>
      </c>
      <c r="M388">
        <f>Table2[[#This Row],[appointment_date]]-Table2[[#This Row],[booking_date]]</f>
        <v>20</v>
      </c>
    </row>
    <row r="389" spans="1:13" x14ac:dyDescent="0.25">
      <c r="A389" s="4">
        <v>1026</v>
      </c>
      <c r="B389" s="3" t="s">
        <v>1069</v>
      </c>
      <c r="C389" s="4">
        <v>42</v>
      </c>
      <c r="D389" s="3" t="s">
        <v>68</v>
      </c>
      <c r="E389" s="5">
        <v>46047</v>
      </c>
      <c r="F389" s="5">
        <v>45635</v>
      </c>
      <c r="G389" s="3" t="s">
        <v>1070</v>
      </c>
      <c r="H389" s="3" t="s">
        <v>28</v>
      </c>
      <c r="I389" s="2">
        <v>156.9</v>
      </c>
      <c r="J389" s="3" t="s">
        <v>30</v>
      </c>
      <c r="K389">
        <f t="shared" si="12"/>
        <v>2026</v>
      </c>
      <c r="L389" t="str">
        <f t="shared" si="13"/>
        <v>41-50</v>
      </c>
      <c r="M389">
        <f>Table2[[#This Row],[appointment_date]]-Table2[[#This Row],[booking_date]]</f>
        <v>412</v>
      </c>
    </row>
    <row r="390" spans="1:13" x14ac:dyDescent="0.25">
      <c r="A390" s="4">
        <v>1001</v>
      </c>
      <c r="B390" s="3" t="s">
        <v>1071</v>
      </c>
      <c r="C390" s="4">
        <v>90</v>
      </c>
      <c r="D390" s="3" t="s">
        <v>68</v>
      </c>
      <c r="E390" s="5">
        <v>45973</v>
      </c>
      <c r="F390" s="5">
        <v>45904</v>
      </c>
      <c r="G390" s="3" t="s">
        <v>1072</v>
      </c>
      <c r="H390" s="3" t="s">
        <v>24</v>
      </c>
      <c r="I390" s="2">
        <v>429.83</v>
      </c>
      <c r="J390" s="3" t="s">
        <v>30</v>
      </c>
      <c r="K390">
        <f t="shared" si="12"/>
        <v>2025</v>
      </c>
      <c r="L390" t="str">
        <f t="shared" si="13"/>
        <v>81-90</v>
      </c>
      <c r="M390">
        <f>Table2[[#This Row],[appointment_date]]-Table2[[#This Row],[booking_date]]</f>
        <v>69</v>
      </c>
    </row>
    <row r="391" spans="1:13" x14ac:dyDescent="0.25">
      <c r="A391" s="4">
        <v>1004</v>
      </c>
      <c r="B391" s="3" t="s">
        <v>1074</v>
      </c>
      <c r="C391" s="4">
        <v>65</v>
      </c>
      <c r="D391" s="3" t="s">
        <v>68</v>
      </c>
      <c r="E391" s="5">
        <v>45881</v>
      </c>
      <c r="F391" s="5">
        <v>45653</v>
      </c>
      <c r="G391" s="3" t="s">
        <v>1075</v>
      </c>
      <c r="H391" s="3" t="s">
        <v>13</v>
      </c>
      <c r="I391" s="2">
        <v>188.72</v>
      </c>
      <c r="J391" s="3" t="s">
        <v>35</v>
      </c>
      <c r="K391">
        <f t="shared" si="12"/>
        <v>2025</v>
      </c>
      <c r="L391" t="str">
        <f t="shared" si="13"/>
        <v>61-70</v>
      </c>
      <c r="M391">
        <f>Table2[[#This Row],[appointment_date]]-Table2[[#This Row],[booking_date]]</f>
        <v>228</v>
      </c>
    </row>
    <row r="392" spans="1:13" x14ac:dyDescent="0.25">
      <c r="A392" s="4">
        <v>1013</v>
      </c>
      <c r="B392" s="3" t="s">
        <v>1076</v>
      </c>
      <c r="C392" s="4">
        <v>89</v>
      </c>
      <c r="D392" s="3" t="s">
        <v>68</v>
      </c>
      <c r="E392" s="5">
        <v>45944</v>
      </c>
      <c r="F392" s="5">
        <v>45551</v>
      </c>
      <c r="G392" s="3" t="s">
        <v>1077</v>
      </c>
      <c r="H392" s="3" t="s">
        <v>13</v>
      </c>
      <c r="I392" s="2">
        <v>547.05999999999995</v>
      </c>
      <c r="J392" s="3" t="s">
        <v>35</v>
      </c>
      <c r="K392">
        <f t="shared" si="12"/>
        <v>2025</v>
      </c>
      <c r="L392" t="str">
        <f t="shared" si="13"/>
        <v>81-90</v>
      </c>
      <c r="M392">
        <f>Table2[[#This Row],[appointment_date]]-Table2[[#This Row],[booking_date]]</f>
        <v>393</v>
      </c>
    </row>
    <row r="393" spans="1:13" x14ac:dyDescent="0.25">
      <c r="A393" s="4">
        <v>1009</v>
      </c>
      <c r="B393" s="3" t="s">
        <v>1079</v>
      </c>
      <c r="C393" s="4">
        <v>67</v>
      </c>
      <c r="D393" s="3" t="s">
        <v>37</v>
      </c>
      <c r="E393" s="5">
        <v>45840</v>
      </c>
      <c r="F393" s="5">
        <v>45447</v>
      </c>
      <c r="G393" s="3" t="s">
        <v>1080</v>
      </c>
      <c r="H393" s="3" t="s">
        <v>18</v>
      </c>
      <c r="I393" s="2">
        <v>435.46</v>
      </c>
      <c r="J393" s="3" t="s">
        <v>30</v>
      </c>
      <c r="K393">
        <f t="shared" si="12"/>
        <v>2025</v>
      </c>
      <c r="L393" t="str">
        <f t="shared" si="13"/>
        <v>61-70</v>
      </c>
      <c r="M393">
        <f>Table2[[#This Row],[appointment_date]]-Table2[[#This Row],[booking_date]]</f>
        <v>393</v>
      </c>
    </row>
    <row r="394" spans="1:13" x14ac:dyDescent="0.25">
      <c r="A394" s="4">
        <v>1021</v>
      </c>
      <c r="B394" s="3" t="s">
        <v>1082</v>
      </c>
      <c r="C394" s="4">
        <v>68</v>
      </c>
      <c r="D394" s="3"/>
      <c r="E394" s="5">
        <v>45784</v>
      </c>
      <c r="F394" s="5">
        <v>45583</v>
      </c>
      <c r="G394" s="3" t="s">
        <v>1083</v>
      </c>
      <c r="H394" s="3" t="s">
        <v>18</v>
      </c>
      <c r="I394" s="2">
        <v>296.8</v>
      </c>
      <c r="J394" s="3" t="s">
        <v>30</v>
      </c>
      <c r="K394">
        <f t="shared" si="12"/>
        <v>2025</v>
      </c>
      <c r="L394" t="str">
        <f t="shared" si="13"/>
        <v>61-70</v>
      </c>
      <c r="M394">
        <f>Table2[[#This Row],[appointment_date]]-Table2[[#This Row],[booking_date]]</f>
        <v>201</v>
      </c>
    </row>
    <row r="395" spans="1:13" x14ac:dyDescent="0.25">
      <c r="A395" s="4">
        <v>1100</v>
      </c>
      <c r="B395" s="3" t="s">
        <v>1084</v>
      </c>
      <c r="C395" s="4">
        <v>69</v>
      </c>
      <c r="D395" s="3" t="s">
        <v>68</v>
      </c>
      <c r="E395" s="5">
        <v>45938</v>
      </c>
      <c r="F395" s="5">
        <v>45796</v>
      </c>
      <c r="G395" s="3" t="s">
        <v>1085</v>
      </c>
      <c r="H395" s="3" t="s">
        <v>24</v>
      </c>
      <c r="I395" s="2">
        <v>492.2</v>
      </c>
      <c r="J395" s="3" t="s">
        <v>30</v>
      </c>
      <c r="K395">
        <f t="shared" si="12"/>
        <v>2025</v>
      </c>
      <c r="L395" t="str">
        <f t="shared" si="13"/>
        <v>61-70</v>
      </c>
      <c r="M395">
        <f>Table2[[#This Row],[appointment_date]]-Table2[[#This Row],[booking_date]]</f>
        <v>142</v>
      </c>
    </row>
    <row r="396" spans="1:13" x14ac:dyDescent="0.25">
      <c r="A396" s="4">
        <v>1005</v>
      </c>
      <c r="B396" s="3" t="s">
        <v>1087</v>
      </c>
      <c r="C396" s="4">
        <v>80</v>
      </c>
      <c r="D396" s="3" t="s">
        <v>68</v>
      </c>
      <c r="E396" s="5">
        <v>45862</v>
      </c>
      <c r="F396" s="5">
        <v>45673</v>
      </c>
      <c r="G396" s="3" t="s">
        <v>1088</v>
      </c>
      <c r="H396" s="3" t="s">
        <v>28</v>
      </c>
      <c r="I396" s="2">
        <v>320.72000000000003</v>
      </c>
      <c r="J396" s="3" t="s">
        <v>30</v>
      </c>
      <c r="K396">
        <f t="shared" si="12"/>
        <v>2025</v>
      </c>
      <c r="L396" t="str">
        <f t="shared" si="13"/>
        <v>71-80</v>
      </c>
      <c r="M396">
        <f>Table2[[#This Row],[appointment_date]]-Table2[[#This Row],[booking_date]]</f>
        <v>189</v>
      </c>
    </row>
    <row r="397" spans="1:13" x14ac:dyDescent="0.25">
      <c r="A397" s="4">
        <v>1071</v>
      </c>
      <c r="B397" s="3" t="s">
        <v>1089</v>
      </c>
      <c r="C397" s="4">
        <v>73</v>
      </c>
      <c r="D397" s="3" t="s">
        <v>68</v>
      </c>
      <c r="E397" s="5">
        <v>45893</v>
      </c>
      <c r="F397" s="5">
        <v>45842</v>
      </c>
      <c r="G397" s="3" t="s">
        <v>1090</v>
      </c>
      <c r="H397" s="3" t="s">
        <v>24</v>
      </c>
      <c r="I397" s="2">
        <v>262.83999999999997</v>
      </c>
      <c r="J397" s="3" t="s">
        <v>30</v>
      </c>
      <c r="K397">
        <f t="shared" si="12"/>
        <v>2025</v>
      </c>
      <c r="L397" t="str">
        <f t="shared" si="13"/>
        <v>71-80</v>
      </c>
      <c r="M397">
        <f>Table2[[#This Row],[appointment_date]]-Table2[[#This Row],[booking_date]]</f>
        <v>51</v>
      </c>
    </row>
    <row r="398" spans="1:13" x14ac:dyDescent="0.25">
      <c r="A398" s="4">
        <v>1070</v>
      </c>
      <c r="B398" s="3" t="s">
        <v>224</v>
      </c>
      <c r="C398" s="4">
        <v>78</v>
      </c>
      <c r="D398" s="3" t="s">
        <v>68</v>
      </c>
      <c r="E398" s="5">
        <v>46010</v>
      </c>
      <c r="F398" s="5">
        <v>45621</v>
      </c>
      <c r="G398" s="3" t="s">
        <v>1091</v>
      </c>
      <c r="H398" s="3" t="s">
        <v>13</v>
      </c>
      <c r="I398" s="2">
        <v>3.02</v>
      </c>
      <c r="J398" s="3" t="s">
        <v>30</v>
      </c>
      <c r="K398">
        <f t="shared" si="12"/>
        <v>2025</v>
      </c>
      <c r="L398" t="str">
        <f t="shared" si="13"/>
        <v>71-80</v>
      </c>
      <c r="M398">
        <f>Table2[[#This Row],[appointment_date]]-Table2[[#This Row],[booking_date]]</f>
        <v>389</v>
      </c>
    </row>
    <row r="399" spans="1:13" x14ac:dyDescent="0.25">
      <c r="A399" s="4">
        <v>1020</v>
      </c>
      <c r="B399" s="3" t="s">
        <v>1093</v>
      </c>
      <c r="C399" s="4">
        <v>65</v>
      </c>
      <c r="D399" s="3" t="s">
        <v>37</v>
      </c>
      <c r="E399" s="5">
        <v>46046</v>
      </c>
      <c r="F399" s="5">
        <v>46026</v>
      </c>
      <c r="G399" s="3" t="s">
        <v>1094</v>
      </c>
      <c r="H399" s="3" t="s">
        <v>13</v>
      </c>
      <c r="I399" s="2">
        <v>243.08</v>
      </c>
      <c r="J399" s="3" t="s">
        <v>30</v>
      </c>
      <c r="K399">
        <f t="shared" si="12"/>
        <v>2026</v>
      </c>
      <c r="L399" t="str">
        <f t="shared" si="13"/>
        <v>61-70</v>
      </c>
      <c r="M399">
        <f>Table2[[#This Row],[appointment_date]]-Table2[[#This Row],[booking_date]]</f>
        <v>20</v>
      </c>
    </row>
    <row r="400" spans="1:13" x14ac:dyDescent="0.25">
      <c r="A400" s="4">
        <v>1074</v>
      </c>
      <c r="B400" s="3" t="s">
        <v>1096</v>
      </c>
      <c r="C400" s="4">
        <v>87</v>
      </c>
      <c r="D400" s="3" t="s">
        <v>68</v>
      </c>
      <c r="E400" s="5">
        <v>45961</v>
      </c>
      <c r="F400" s="5">
        <v>45799</v>
      </c>
      <c r="G400" s="3" t="s">
        <v>1097</v>
      </c>
      <c r="H400" s="3" t="s">
        <v>13</v>
      </c>
      <c r="I400" s="2">
        <v>350.43</v>
      </c>
      <c r="J400" s="3" t="s">
        <v>35</v>
      </c>
      <c r="K400">
        <f t="shared" si="12"/>
        <v>2025</v>
      </c>
      <c r="L400" t="str">
        <f t="shared" si="13"/>
        <v>81-90</v>
      </c>
      <c r="M400">
        <f>Table2[[#This Row],[appointment_date]]-Table2[[#This Row],[booking_date]]</f>
        <v>162</v>
      </c>
    </row>
    <row r="401" spans="1:13" x14ac:dyDescent="0.25">
      <c r="A401" s="4">
        <v>1001</v>
      </c>
      <c r="B401" s="3" t="s">
        <v>1099</v>
      </c>
      <c r="C401" s="4">
        <v>78</v>
      </c>
      <c r="D401" s="3" t="s">
        <v>68</v>
      </c>
      <c r="E401" s="5">
        <v>45887</v>
      </c>
      <c r="F401" s="5">
        <v>45438</v>
      </c>
      <c r="G401" s="3" t="s">
        <v>1100</v>
      </c>
      <c r="H401" s="3" t="s">
        <v>24</v>
      </c>
      <c r="I401" s="2">
        <v>217.56</v>
      </c>
      <c r="J401" s="3" t="s">
        <v>30</v>
      </c>
      <c r="K401">
        <f t="shared" si="12"/>
        <v>2025</v>
      </c>
      <c r="L401" t="str">
        <f t="shared" si="13"/>
        <v>71-80</v>
      </c>
      <c r="M401">
        <f>Table2[[#This Row],[appointment_date]]-Table2[[#This Row],[booking_date]]</f>
        <v>449</v>
      </c>
    </row>
    <row r="402" spans="1:13" x14ac:dyDescent="0.25">
      <c r="A402" s="4">
        <v>1067</v>
      </c>
      <c r="B402" s="3" t="s">
        <v>1102</v>
      </c>
      <c r="C402" s="4">
        <v>66</v>
      </c>
      <c r="D402" s="3"/>
      <c r="E402" s="5">
        <v>45800</v>
      </c>
      <c r="F402" s="5">
        <v>45518</v>
      </c>
      <c r="G402" s="3" t="s">
        <v>1103</v>
      </c>
      <c r="H402" s="3" t="s">
        <v>13</v>
      </c>
      <c r="I402" s="2">
        <v>1.49</v>
      </c>
      <c r="J402" s="3" t="s">
        <v>35</v>
      </c>
      <c r="K402">
        <f t="shared" si="12"/>
        <v>2025</v>
      </c>
      <c r="L402" t="str">
        <f t="shared" si="13"/>
        <v>61-70</v>
      </c>
      <c r="M402">
        <f>Table2[[#This Row],[appointment_date]]-Table2[[#This Row],[booking_date]]</f>
        <v>282</v>
      </c>
    </row>
    <row r="403" spans="1:13" x14ac:dyDescent="0.25">
      <c r="A403" s="4">
        <v>1074</v>
      </c>
      <c r="B403" s="3" t="s">
        <v>1105</v>
      </c>
      <c r="C403" s="4">
        <v>30</v>
      </c>
      <c r="D403" s="3" t="s">
        <v>37</v>
      </c>
      <c r="E403" s="5">
        <v>45994</v>
      </c>
      <c r="F403" s="5">
        <v>45865</v>
      </c>
      <c r="G403" s="3" t="s">
        <v>1106</v>
      </c>
      <c r="H403" s="3" t="s">
        <v>18</v>
      </c>
      <c r="I403" s="2">
        <v>322.13</v>
      </c>
      <c r="J403" s="3" t="s">
        <v>35</v>
      </c>
      <c r="K403">
        <f t="shared" si="12"/>
        <v>2025</v>
      </c>
      <c r="L403" t="str">
        <f t="shared" si="13"/>
        <v>18-30</v>
      </c>
      <c r="M403">
        <f>Table2[[#This Row],[appointment_date]]-Table2[[#This Row],[booking_date]]</f>
        <v>129</v>
      </c>
    </row>
    <row r="404" spans="1:13" x14ac:dyDescent="0.25">
      <c r="A404" s="4">
        <v>1053</v>
      </c>
      <c r="B404" s="3" t="s">
        <v>1108</v>
      </c>
      <c r="C404" s="4">
        <v>76</v>
      </c>
      <c r="D404" s="3" t="s">
        <v>37</v>
      </c>
      <c r="E404" s="5">
        <v>45989</v>
      </c>
      <c r="F404" s="5">
        <v>45767</v>
      </c>
      <c r="G404" s="3" t="s">
        <v>1109</v>
      </c>
      <c r="H404" s="3" t="s">
        <v>28</v>
      </c>
      <c r="I404" s="2">
        <v>374.72</v>
      </c>
      <c r="J404" s="3" t="s">
        <v>35</v>
      </c>
      <c r="K404">
        <f t="shared" si="12"/>
        <v>2025</v>
      </c>
      <c r="L404" t="str">
        <f t="shared" si="13"/>
        <v>71-80</v>
      </c>
      <c r="M404">
        <f>Table2[[#This Row],[appointment_date]]-Table2[[#This Row],[booking_date]]</f>
        <v>222</v>
      </c>
    </row>
    <row r="405" spans="1:13" x14ac:dyDescent="0.25">
      <c r="A405" s="4">
        <v>1020</v>
      </c>
      <c r="B405" s="3" t="s">
        <v>1110</v>
      </c>
      <c r="C405" s="4">
        <v>69</v>
      </c>
      <c r="D405" s="3" t="s">
        <v>37</v>
      </c>
      <c r="E405" s="5">
        <v>45904</v>
      </c>
      <c r="F405" s="5">
        <v>45704</v>
      </c>
      <c r="G405" s="3" t="s">
        <v>1111</v>
      </c>
      <c r="H405" s="3" t="s">
        <v>28</v>
      </c>
      <c r="I405" s="2">
        <v>365.77</v>
      </c>
      <c r="J405" s="3" t="s">
        <v>30</v>
      </c>
      <c r="K405">
        <f t="shared" si="12"/>
        <v>2025</v>
      </c>
      <c r="L405" t="str">
        <f t="shared" si="13"/>
        <v>61-70</v>
      </c>
      <c r="M405">
        <f>Table2[[#This Row],[appointment_date]]-Table2[[#This Row],[booking_date]]</f>
        <v>200</v>
      </c>
    </row>
    <row r="406" spans="1:13" x14ac:dyDescent="0.25">
      <c r="A406" s="4">
        <v>1013</v>
      </c>
      <c r="B406" s="3" t="s">
        <v>1113</v>
      </c>
      <c r="C406" s="4">
        <v>27</v>
      </c>
      <c r="D406" s="3" t="s">
        <v>37</v>
      </c>
      <c r="E406" s="5">
        <v>46027</v>
      </c>
      <c r="F406" s="5">
        <v>45638</v>
      </c>
      <c r="G406" s="3" t="s">
        <v>1114</v>
      </c>
      <c r="H406" s="3" t="s">
        <v>24</v>
      </c>
      <c r="I406" s="2">
        <v>379.39</v>
      </c>
      <c r="J406" s="3" t="s">
        <v>35</v>
      </c>
      <c r="K406">
        <f t="shared" si="12"/>
        <v>2026</v>
      </c>
      <c r="L406" t="str">
        <f t="shared" si="13"/>
        <v>18-30</v>
      </c>
      <c r="M406">
        <f>Table2[[#This Row],[appointment_date]]-Table2[[#This Row],[booking_date]]</f>
        <v>389</v>
      </c>
    </row>
    <row r="407" spans="1:13" x14ac:dyDescent="0.25">
      <c r="A407" s="4">
        <v>1027</v>
      </c>
      <c r="B407" s="3" t="s">
        <v>1115</v>
      </c>
      <c r="C407" s="4">
        <v>75</v>
      </c>
      <c r="D407" s="3" t="s">
        <v>68</v>
      </c>
      <c r="E407" s="5">
        <v>45761</v>
      </c>
      <c r="F407" s="5">
        <v>45463</v>
      </c>
      <c r="G407" s="3" t="s">
        <v>1116</v>
      </c>
      <c r="H407" s="3" t="s">
        <v>18</v>
      </c>
      <c r="I407" s="2">
        <v>4.87</v>
      </c>
      <c r="J407" s="3" t="s">
        <v>30</v>
      </c>
      <c r="K407">
        <f t="shared" si="12"/>
        <v>2025</v>
      </c>
      <c r="L407" t="str">
        <f t="shared" si="13"/>
        <v>71-80</v>
      </c>
      <c r="M407">
        <f>Table2[[#This Row],[appointment_date]]-Table2[[#This Row],[booking_date]]</f>
        <v>298</v>
      </c>
    </row>
    <row r="408" spans="1:13" x14ac:dyDescent="0.25">
      <c r="A408" s="4">
        <v>1070</v>
      </c>
      <c r="B408" s="3" t="s">
        <v>1118</v>
      </c>
      <c r="C408" s="4">
        <v>58</v>
      </c>
      <c r="D408" s="3" t="s">
        <v>37</v>
      </c>
      <c r="E408" s="5">
        <v>45992</v>
      </c>
      <c r="F408" s="5">
        <v>45655</v>
      </c>
      <c r="G408" s="3" t="s">
        <v>1119</v>
      </c>
      <c r="H408" s="3" t="s">
        <v>28</v>
      </c>
      <c r="I408" s="2">
        <v>402.06</v>
      </c>
      <c r="J408" s="3" t="s">
        <v>30</v>
      </c>
      <c r="K408">
        <f t="shared" si="12"/>
        <v>2025</v>
      </c>
      <c r="L408" t="str">
        <f t="shared" si="13"/>
        <v>51-60</v>
      </c>
      <c r="M408">
        <f>Table2[[#This Row],[appointment_date]]-Table2[[#This Row],[booking_date]]</f>
        <v>337</v>
      </c>
    </row>
    <row r="409" spans="1:13" x14ac:dyDescent="0.25">
      <c r="A409" s="4">
        <v>1050</v>
      </c>
      <c r="B409" s="3" t="s">
        <v>1121</v>
      </c>
      <c r="C409" s="4">
        <v>61</v>
      </c>
      <c r="D409" s="3" t="s">
        <v>37</v>
      </c>
      <c r="E409" s="5">
        <v>45827</v>
      </c>
      <c r="F409" s="5">
        <v>45536</v>
      </c>
      <c r="G409" s="3" t="s">
        <v>1122</v>
      </c>
      <c r="H409" s="3" t="s">
        <v>24</v>
      </c>
      <c r="I409" s="2">
        <v>313.52999999999997</v>
      </c>
      <c r="J409" s="3" t="s">
        <v>30</v>
      </c>
      <c r="K409">
        <f t="shared" si="12"/>
        <v>2025</v>
      </c>
      <c r="L409" t="str">
        <f t="shared" si="13"/>
        <v>61-70</v>
      </c>
      <c r="M409">
        <f>Table2[[#This Row],[appointment_date]]-Table2[[#This Row],[booking_date]]</f>
        <v>291</v>
      </c>
    </row>
    <row r="410" spans="1:13" x14ac:dyDescent="0.25">
      <c r="A410" s="4">
        <v>1010</v>
      </c>
      <c r="B410" s="3" t="s">
        <v>1124</v>
      </c>
      <c r="C410" s="4">
        <v>68</v>
      </c>
      <c r="D410" s="3" t="s">
        <v>37</v>
      </c>
      <c r="E410" s="5">
        <v>45842</v>
      </c>
      <c r="F410" s="5">
        <v>45596</v>
      </c>
      <c r="G410" s="3" t="s">
        <v>1125</v>
      </c>
      <c r="H410" s="3" t="s">
        <v>28</v>
      </c>
      <c r="I410" s="2">
        <v>400.6</v>
      </c>
      <c r="J410" s="3" t="s">
        <v>35</v>
      </c>
      <c r="K410">
        <f t="shared" si="12"/>
        <v>2025</v>
      </c>
      <c r="L410" t="str">
        <f t="shared" si="13"/>
        <v>61-70</v>
      </c>
      <c r="M410">
        <f>Table2[[#This Row],[appointment_date]]-Table2[[#This Row],[booking_date]]</f>
        <v>246</v>
      </c>
    </row>
    <row r="411" spans="1:13" x14ac:dyDescent="0.25">
      <c r="A411" s="4">
        <v>1017</v>
      </c>
      <c r="B411" s="3" t="s">
        <v>1126</v>
      </c>
      <c r="C411" s="4">
        <v>43</v>
      </c>
      <c r="D411" s="3" t="s">
        <v>37</v>
      </c>
      <c r="E411" s="5">
        <v>45795</v>
      </c>
      <c r="F411" s="5">
        <v>45495</v>
      </c>
      <c r="G411" s="3" t="s">
        <v>1127</v>
      </c>
      <c r="H411" s="3" t="s">
        <v>18</v>
      </c>
      <c r="I411" s="2">
        <v>341.81</v>
      </c>
      <c r="J411" s="3" t="s">
        <v>30</v>
      </c>
      <c r="K411">
        <f t="shared" si="12"/>
        <v>2025</v>
      </c>
      <c r="L411" t="str">
        <f t="shared" si="13"/>
        <v>41-50</v>
      </c>
      <c r="M411">
        <f>Table2[[#This Row],[appointment_date]]-Table2[[#This Row],[booking_date]]</f>
        <v>300</v>
      </c>
    </row>
    <row r="412" spans="1:13" x14ac:dyDescent="0.25">
      <c r="A412" s="4">
        <v>1085</v>
      </c>
      <c r="B412" s="3" t="s">
        <v>1129</v>
      </c>
      <c r="C412" s="4">
        <v>62</v>
      </c>
      <c r="D412" s="3" t="s">
        <v>37</v>
      </c>
      <c r="E412" s="5">
        <v>45968</v>
      </c>
      <c r="F412" s="5">
        <v>45515</v>
      </c>
      <c r="G412" s="3" t="s">
        <v>1130</v>
      </c>
      <c r="H412" s="3" t="s">
        <v>13</v>
      </c>
      <c r="I412" s="2">
        <v>475.01</v>
      </c>
      <c r="J412" s="3" t="s">
        <v>30</v>
      </c>
      <c r="K412">
        <f t="shared" si="12"/>
        <v>2025</v>
      </c>
      <c r="L412" t="str">
        <f t="shared" si="13"/>
        <v>61-70</v>
      </c>
      <c r="M412">
        <f>Table2[[#This Row],[appointment_date]]-Table2[[#This Row],[booking_date]]</f>
        <v>453</v>
      </c>
    </row>
    <row r="413" spans="1:13" x14ac:dyDescent="0.25">
      <c r="A413" s="4">
        <v>1023</v>
      </c>
      <c r="B413" s="3" t="s">
        <v>1132</v>
      </c>
      <c r="C413" s="4">
        <v>45</v>
      </c>
      <c r="D413" s="3" t="s">
        <v>68</v>
      </c>
      <c r="E413" s="5">
        <v>45829</v>
      </c>
      <c r="F413" s="5">
        <v>45729</v>
      </c>
      <c r="G413" s="3" t="s">
        <v>1133</v>
      </c>
      <c r="H413" s="3" t="s">
        <v>13</v>
      </c>
      <c r="I413" s="2">
        <v>245.21</v>
      </c>
      <c r="J413" s="3" t="s">
        <v>35</v>
      </c>
      <c r="K413">
        <f t="shared" si="12"/>
        <v>2025</v>
      </c>
      <c r="L413" t="str">
        <f t="shared" si="13"/>
        <v>41-50</v>
      </c>
      <c r="M413">
        <f>Table2[[#This Row],[appointment_date]]-Table2[[#This Row],[booking_date]]</f>
        <v>100</v>
      </c>
    </row>
    <row r="414" spans="1:13" x14ac:dyDescent="0.25">
      <c r="A414" s="4">
        <v>1066</v>
      </c>
      <c r="B414" s="3" t="s">
        <v>1134</v>
      </c>
      <c r="C414" s="4">
        <v>85</v>
      </c>
      <c r="D414" s="3" t="s">
        <v>37</v>
      </c>
      <c r="E414" s="5">
        <v>46000</v>
      </c>
      <c r="F414" s="5">
        <v>45687</v>
      </c>
      <c r="G414" s="3" t="s">
        <v>1135</v>
      </c>
      <c r="H414" s="3" t="s">
        <v>28</v>
      </c>
      <c r="I414" s="2">
        <v>5.48</v>
      </c>
      <c r="J414" s="3" t="s">
        <v>35</v>
      </c>
      <c r="K414">
        <f t="shared" si="12"/>
        <v>2025</v>
      </c>
      <c r="L414" t="str">
        <f t="shared" si="13"/>
        <v>81-90</v>
      </c>
      <c r="M414">
        <f>Table2[[#This Row],[appointment_date]]-Table2[[#This Row],[booking_date]]</f>
        <v>313</v>
      </c>
    </row>
    <row r="415" spans="1:13" x14ac:dyDescent="0.25">
      <c r="A415" s="4">
        <v>1038</v>
      </c>
      <c r="B415" s="3" t="s">
        <v>1137</v>
      </c>
      <c r="C415" s="4">
        <v>72</v>
      </c>
      <c r="D415" s="3" t="s">
        <v>37</v>
      </c>
      <c r="E415" s="5">
        <v>45896</v>
      </c>
      <c r="F415" s="5">
        <v>45633</v>
      </c>
      <c r="G415" s="3" t="s">
        <v>1138</v>
      </c>
      <c r="H415" s="3" t="s">
        <v>24</v>
      </c>
      <c r="I415" s="2">
        <v>5.5</v>
      </c>
      <c r="J415" s="3" t="s">
        <v>35</v>
      </c>
      <c r="K415">
        <f t="shared" si="12"/>
        <v>2025</v>
      </c>
      <c r="L415" t="str">
        <f t="shared" si="13"/>
        <v>71-80</v>
      </c>
      <c r="M415">
        <f>Table2[[#This Row],[appointment_date]]-Table2[[#This Row],[booking_date]]</f>
        <v>263</v>
      </c>
    </row>
    <row r="416" spans="1:13" x14ac:dyDescent="0.25">
      <c r="A416" s="4">
        <v>1048</v>
      </c>
      <c r="B416" s="3" t="s">
        <v>1140</v>
      </c>
      <c r="C416" s="4">
        <v>63</v>
      </c>
      <c r="D416" s="3" t="s">
        <v>37</v>
      </c>
      <c r="E416" s="5">
        <v>45945</v>
      </c>
      <c r="F416" s="5">
        <v>45690</v>
      </c>
      <c r="G416" s="3" t="s">
        <v>1141</v>
      </c>
      <c r="H416" s="3" t="s">
        <v>13</v>
      </c>
      <c r="I416" s="2">
        <v>353.6</v>
      </c>
      <c r="J416" s="3" t="s">
        <v>35</v>
      </c>
      <c r="K416">
        <f t="shared" si="12"/>
        <v>2025</v>
      </c>
      <c r="L416" t="str">
        <f t="shared" si="13"/>
        <v>61-70</v>
      </c>
      <c r="M416">
        <f>Table2[[#This Row],[appointment_date]]-Table2[[#This Row],[booking_date]]</f>
        <v>255</v>
      </c>
    </row>
    <row r="417" spans="1:13" x14ac:dyDescent="0.25">
      <c r="A417" s="4">
        <v>1082</v>
      </c>
      <c r="B417" s="3" t="s">
        <v>1143</v>
      </c>
      <c r="C417" s="4">
        <v>67</v>
      </c>
      <c r="D417" s="3" t="s">
        <v>37</v>
      </c>
      <c r="E417" s="5">
        <v>45857</v>
      </c>
      <c r="F417" s="5">
        <v>45630</v>
      </c>
      <c r="G417" s="3" t="s">
        <v>1144</v>
      </c>
      <c r="H417" s="3" t="s">
        <v>28</v>
      </c>
      <c r="I417" s="2">
        <v>149.33000000000001</v>
      </c>
      <c r="J417" s="3" t="s">
        <v>35</v>
      </c>
      <c r="K417">
        <f t="shared" si="12"/>
        <v>2025</v>
      </c>
      <c r="L417" t="str">
        <f t="shared" si="13"/>
        <v>61-70</v>
      </c>
      <c r="M417">
        <f>Table2[[#This Row],[appointment_date]]-Table2[[#This Row],[booking_date]]</f>
        <v>227</v>
      </c>
    </row>
    <row r="418" spans="1:13" x14ac:dyDescent="0.25">
      <c r="A418" s="4">
        <v>1085</v>
      </c>
      <c r="B418" s="3" t="s">
        <v>1145</v>
      </c>
      <c r="C418" s="4">
        <v>69</v>
      </c>
      <c r="D418" s="3" t="s">
        <v>68</v>
      </c>
      <c r="E418" s="5">
        <v>46097</v>
      </c>
      <c r="F418" s="5">
        <v>45462</v>
      </c>
      <c r="G418" s="3" t="s">
        <v>1146</v>
      </c>
      <c r="H418" s="3" t="s">
        <v>28</v>
      </c>
      <c r="I418" s="2">
        <v>412.82</v>
      </c>
      <c r="J418" s="3" t="s">
        <v>30</v>
      </c>
      <c r="K418">
        <f t="shared" si="12"/>
        <v>2026</v>
      </c>
      <c r="L418" t="str">
        <f t="shared" si="13"/>
        <v>61-70</v>
      </c>
      <c r="M418">
        <f>Table2[[#This Row],[appointment_date]]-Table2[[#This Row],[booking_date]]</f>
        <v>635</v>
      </c>
    </row>
    <row r="419" spans="1:13" x14ac:dyDescent="0.25">
      <c r="A419" s="4">
        <v>1046</v>
      </c>
      <c r="B419" s="3" t="s">
        <v>1147</v>
      </c>
      <c r="C419" s="4">
        <v>24</v>
      </c>
      <c r="D419" s="3" t="s">
        <v>37</v>
      </c>
      <c r="E419" s="5">
        <v>45857</v>
      </c>
      <c r="F419" s="5">
        <v>45533</v>
      </c>
      <c r="G419" s="3" t="s">
        <v>1148</v>
      </c>
      <c r="H419" s="3" t="s">
        <v>18</v>
      </c>
      <c r="I419" s="2">
        <v>495.43</v>
      </c>
      <c r="J419" s="3" t="s">
        <v>30</v>
      </c>
      <c r="K419">
        <f t="shared" si="12"/>
        <v>2025</v>
      </c>
      <c r="L419" t="str">
        <f t="shared" si="13"/>
        <v>18-30</v>
      </c>
      <c r="M419">
        <f>Table2[[#This Row],[appointment_date]]-Table2[[#This Row],[booking_date]]</f>
        <v>324</v>
      </c>
    </row>
    <row r="420" spans="1:13" x14ac:dyDescent="0.25">
      <c r="A420" s="4">
        <v>1093</v>
      </c>
      <c r="B420" s="3" t="s">
        <v>1150</v>
      </c>
      <c r="C420" s="4">
        <v>87</v>
      </c>
      <c r="D420" s="3" t="s">
        <v>37</v>
      </c>
      <c r="E420" s="5">
        <v>46044</v>
      </c>
      <c r="F420" s="5">
        <v>45599</v>
      </c>
      <c r="G420" s="3" t="s">
        <v>1151</v>
      </c>
      <c r="H420" s="3" t="s">
        <v>18</v>
      </c>
      <c r="I420" s="2">
        <v>80.81</v>
      </c>
      <c r="J420" s="3" t="s">
        <v>30</v>
      </c>
      <c r="K420">
        <f t="shared" si="12"/>
        <v>2026</v>
      </c>
      <c r="L420" t="str">
        <f t="shared" si="13"/>
        <v>81-90</v>
      </c>
      <c r="M420">
        <f>Table2[[#This Row],[appointment_date]]-Table2[[#This Row],[booking_date]]</f>
        <v>445</v>
      </c>
    </row>
    <row r="421" spans="1:13" x14ac:dyDescent="0.25">
      <c r="A421" s="4">
        <v>1072</v>
      </c>
      <c r="B421" s="3" t="s">
        <v>1153</v>
      </c>
      <c r="C421" s="4">
        <v>68</v>
      </c>
      <c r="D421" s="3" t="s">
        <v>68</v>
      </c>
      <c r="E421" s="5">
        <v>46032</v>
      </c>
      <c r="F421" s="5">
        <v>45911</v>
      </c>
      <c r="G421" s="3" t="s">
        <v>1154</v>
      </c>
      <c r="H421" s="3" t="s">
        <v>13</v>
      </c>
      <c r="I421" s="2">
        <v>325.38</v>
      </c>
      <c r="J421" s="3" t="s">
        <v>30</v>
      </c>
      <c r="K421">
        <f t="shared" si="12"/>
        <v>2026</v>
      </c>
      <c r="L421" t="str">
        <f t="shared" si="13"/>
        <v>61-70</v>
      </c>
      <c r="M421">
        <f>Table2[[#This Row],[appointment_date]]-Table2[[#This Row],[booking_date]]</f>
        <v>121</v>
      </c>
    </row>
    <row r="422" spans="1:13" x14ac:dyDescent="0.25">
      <c r="A422" s="4">
        <v>1089</v>
      </c>
      <c r="B422" s="3" t="s">
        <v>1156</v>
      </c>
      <c r="C422" s="4">
        <v>80</v>
      </c>
      <c r="D422" s="3" t="s">
        <v>68</v>
      </c>
      <c r="E422" s="5">
        <v>46000</v>
      </c>
      <c r="F422" s="5">
        <v>45951</v>
      </c>
      <c r="G422" s="3" t="s">
        <v>1157</v>
      </c>
      <c r="H422" s="3" t="s">
        <v>13</v>
      </c>
      <c r="I422" s="2">
        <v>4.97</v>
      </c>
      <c r="J422" s="3" t="s">
        <v>30</v>
      </c>
      <c r="K422">
        <f t="shared" si="12"/>
        <v>2025</v>
      </c>
      <c r="L422" t="str">
        <f t="shared" si="13"/>
        <v>71-80</v>
      </c>
      <c r="M422">
        <f>Table2[[#This Row],[appointment_date]]-Table2[[#This Row],[booking_date]]</f>
        <v>49</v>
      </c>
    </row>
    <row r="423" spans="1:13" x14ac:dyDescent="0.25">
      <c r="A423" s="4">
        <v>1007</v>
      </c>
      <c r="B423" s="3" t="s">
        <v>1159</v>
      </c>
      <c r="C423" s="4">
        <v>39</v>
      </c>
      <c r="D423" s="3" t="s">
        <v>37</v>
      </c>
      <c r="E423" s="5">
        <v>46031</v>
      </c>
      <c r="F423" s="5">
        <v>45513</v>
      </c>
      <c r="G423" s="3" t="s">
        <v>1160</v>
      </c>
      <c r="H423" s="3" t="s">
        <v>13</v>
      </c>
      <c r="I423" s="2">
        <v>347.01</v>
      </c>
      <c r="J423" s="3" t="s">
        <v>30</v>
      </c>
      <c r="K423">
        <f t="shared" si="12"/>
        <v>2026</v>
      </c>
      <c r="L423" t="str">
        <f t="shared" si="13"/>
        <v>31-40</v>
      </c>
      <c r="M423">
        <f>Table2[[#This Row],[appointment_date]]-Table2[[#This Row],[booking_date]]</f>
        <v>518</v>
      </c>
    </row>
    <row r="424" spans="1:13" x14ac:dyDescent="0.25">
      <c r="A424" s="4">
        <v>1030</v>
      </c>
      <c r="B424" s="3" t="s">
        <v>1162</v>
      </c>
      <c r="C424" s="4">
        <v>18</v>
      </c>
      <c r="D424" s="3" t="s">
        <v>68</v>
      </c>
      <c r="E424" s="5">
        <v>46079</v>
      </c>
      <c r="F424" s="5">
        <v>45907</v>
      </c>
      <c r="G424" s="3" t="s">
        <v>1163</v>
      </c>
      <c r="H424" s="3" t="s">
        <v>18</v>
      </c>
      <c r="I424" s="2">
        <v>117.12</v>
      </c>
      <c r="J424" s="3" t="s">
        <v>35</v>
      </c>
      <c r="K424">
        <f t="shared" si="12"/>
        <v>2026</v>
      </c>
      <c r="L424" t="str">
        <f t="shared" si="13"/>
        <v>18-30</v>
      </c>
      <c r="M424">
        <f>Table2[[#This Row],[appointment_date]]-Table2[[#This Row],[booking_date]]</f>
        <v>172</v>
      </c>
    </row>
    <row r="425" spans="1:13" x14ac:dyDescent="0.25">
      <c r="A425" s="4">
        <v>1088</v>
      </c>
      <c r="B425" s="3" t="s">
        <v>1164</v>
      </c>
      <c r="C425" s="4">
        <v>80</v>
      </c>
      <c r="D425" s="3" t="s">
        <v>68</v>
      </c>
      <c r="E425" s="5">
        <v>46087</v>
      </c>
      <c r="F425" s="5">
        <v>45826</v>
      </c>
      <c r="G425" s="3" t="s">
        <v>1165</v>
      </c>
      <c r="H425" s="3" t="s">
        <v>13</v>
      </c>
      <c r="I425" s="2">
        <v>5.0599999999999996</v>
      </c>
      <c r="J425" s="3" t="s">
        <v>35</v>
      </c>
      <c r="K425">
        <f t="shared" si="12"/>
        <v>2026</v>
      </c>
      <c r="L425" t="str">
        <f t="shared" si="13"/>
        <v>71-80</v>
      </c>
      <c r="M425">
        <f>Table2[[#This Row],[appointment_date]]-Table2[[#This Row],[booking_date]]</f>
        <v>261</v>
      </c>
    </row>
    <row r="426" spans="1:13" x14ac:dyDescent="0.25">
      <c r="A426" s="4">
        <v>1077</v>
      </c>
      <c r="B426" s="3" t="s">
        <v>1167</v>
      </c>
      <c r="C426" s="4">
        <v>30</v>
      </c>
      <c r="D426" s="3" t="s">
        <v>68</v>
      </c>
      <c r="E426" s="5">
        <v>45882</v>
      </c>
      <c r="F426" s="5">
        <v>45698</v>
      </c>
      <c r="G426" s="3" t="s">
        <v>1168</v>
      </c>
      <c r="H426" s="3" t="s">
        <v>13</v>
      </c>
      <c r="I426" s="2">
        <v>102.97</v>
      </c>
      <c r="J426" s="3" t="s">
        <v>35</v>
      </c>
      <c r="K426">
        <f t="shared" si="12"/>
        <v>2025</v>
      </c>
      <c r="L426" t="str">
        <f t="shared" si="13"/>
        <v>18-30</v>
      </c>
      <c r="M426">
        <f>Table2[[#This Row],[appointment_date]]-Table2[[#This Row],[booking_date]]</f>
        <v>184</v>
      </c>
    </row>
    <row r="427" spans="1:13" x14ac:dyDescent="0.25">
      <c r="A427" s="4">
        <v>1019</v>
      </c>
      <c r="B427" s="3" t="s">
        <v>1170</v>
      </c>
      <c r="C427" s="4">
        <v>33</v>
      </c>
      <c r="D427" s="3" t="s">
        <v>37</v>
      </c>
      <c r="E427" s="5">
        <v>45821</v>
      </c>
      <c r="F427" s="5">
        <v>45452</v>
      </c>
      <c r="G427" s="3" t="s">
        <v>1171</v>
      </c>
      <c r="H427" s="3" t="s">
        <v>28</v>
      </c>
      <c r="I427" s="2" t="s">
        <v>2693</v>
      </c>
      <c r="J427" s="3" t="s">
        <v>30</v>
      </c>
      <c r="K427">
        <f t="shared" si="12"/>
        <v>2025</v>
      </c>
      <c r="L427" t="str">
        <f t="shared" si="13"/>
        <v>31-40</v>
      </c>
      <c r="M427">
        <f>Table2[[#This Row],[appointment_date]]-Table2[[#This Row],[booking_date]]</f>
        <v>369</v>
      </c>
    </row>
    <row r="428" spans="1:13" x14ac:dyDescent="0.25">
      <c r="A428" s="4">
        <v>1065</v>
      </c>
      <c r="B428" s="3" t="s">
        <v>1172</v>
      </c>
      <c r="C428" s="4">
        <v>31</v>
      </c>
      <c r="D428" s="3" t="s">
        <v>68</v>
      </c>
      <c r="E428" s="5">
        <v>46085</v>
      </c>
      <c r="F428" s="5">
        <v>46050</v>
      </c>
      <c r="G428" s="3" t="s">
        <v>1173</v>
      </c>
      <c r="H428" s="3" t="s">
        <v>18</v>
      </c>
      <c r="I428" s="2">
        <v>462.02</v>
      </c>
      <c r="J428" s="3" t="s">
        <v>35</v>
      </c>
      <c r="K428">
        <f t="shared" si="12"/>
        <v>2026</v>
      </c>
      <c r="L428" t="str">
        <f t="shared" si="13"/>
        <v>31-40</v>
      </c>
      <c r="M428">
        <f>Table2[[#This Row],[appointment_date]]-Table2[[#This Row],[booking_date]]</f>
        <v>35</v>
      </c>
    </row>
    <row r="429" spans="1:13" x14ac:dyDescent="0.25">
      <c r="A429" s="4">
        <v>1081</v>
      </c>
      <c r="B429" s="3" t="s">
        <v>1175</v>
      </c>
      <c r="C429" s="4">
        <v>27</v>
      </c>
      <c r="D429" s="3" t="s">
        <v>37</v>
      </c>
      <c r="E429" s="5">
        <v>45854</v>
      </c>
      <c r="F429" s="5">
        <v>45821</v>
      </c>
      <c r="G429" s="3" t="s">
        <v>1176</v>
      </c>
      <c r="H429" s="3" t="s">
        <v>18</v>
      </c>
      <c r="I429" s="2">
        <v>3.17</v>
      </c>
      <c r="J429" s="3" t="s">
        <v>35</v>
      </c>
      <c r="K429">
        <f t="shared" si="12"/>
        <v>2025</v>
      </c>
      <c r="L429" t="str">
        <f t="shared" si="13"/>
        <v>18-30</v>
      </c>
      <c r="M429">
        <f>Table2[[#This Row],[appointment_date]]-Table2[[#This Row],[booking_date]]</f>
        <v>33</v>
      </c>
    </row>
    <row r="430" spans="1:13" x14ac:dyDescent="0.25">
      <c r="A430" s="4">
        <v>1058</v>
      </c>
      <c r="B430" s="3" t="s">
        <v>1178</v>
      </c>
      <c r="C430" s="4">
        <v>21</v>
      </c>
      <c r="D430" s="3" t="s">
        <v>37</v>
      </c>
      <c r="E430" s="5">
        <v>45916</v>
      </c>
      <c r="F430" s="5">
        <v>45739</v>
      </c>
      <c r="G430" s="3" t="s">
        <v>1179</v>
      </c>
      <c r="H430" s="3" t="s">
        <v>13</v>
      </c>
      <c r="I430" s="2">
        <v>248.86</v>
      </c>
      <c r="J430" s="3" t="s">
        <v>30</v>
      </c>
      <c r="K430">
        <f t="shared" si="12"/>
        <v>2025</v>
      </c>
      <c r="L430" t="str">
        <f t="shared" si="13"/>
        <v>18-30</v>
      </c>
      <c r="M430">
        <f>Table2[[#This Row],[appointment_date]]-Table2[[#This Row],[booking_date]]</f>
        <v>177</v>
      </c>
    </row>
    <row r="431" spans="1:13" x14ac:dyDescent="0.25">
      <c r="A431" s="4">
        <v>1034</v>
      </c>
      <c r="B431" s="3" t="s">
        <v>1181</v>
      </c>
      <c r="C431" s="4">
        <v>75</v>
      </c>
      <c r="D431" s="3" t="s">
        <v>37</v>
      </c>
      <c r="E431" s="5">
        <v>45813</v>
      </c>
      <c r="F431" s="5">
        <v>45677</v>
      </c>
      <c r="G431" s="3" t="s">
        <v>1182</v>
      </c>
      <c r="H431" s="3" t="s">
        <v>13</v>
      </c>
      <c r="I431" s="2">
        <v>1.99</v>
      </c>
      <c r="J431" s="3" t="s">
        <v>35</v>
      </c>
      <c r="K431">
        <f t="shared" si="12"/>
        <v>2025</v>
      </c>
      <c r="L431" t="str">
        <f t="shared" si="13"/>
        <v>71-80</v>
      </c>
      <c r="M431">
        <f>Table2[[#This Row],[appointment_date]]-Table2[[#This Row],[booking_date]]</f>
        <v>136</v>
      </c>
    </row>
    <row r="432" spans="1:13" x14ac:dyDescent="0.25">
      <c r="A432" s="4">
        <v>1068</v>
      </c>
      <c r="B432" s="3" t="s">
        <v>1184</v>
      </c>
      <c r="C432" s="4">
        <v>61</v>
      </c>
      <c r="D432" s="3" t="s">
        <v>37</v>
      </c>
      <c r="E432" s="5">
        <v>46006</v>
      </c>
      <c r="F432" s="5">
        <v>45483</v>
      </c>
      <c r="G432" s="3" t="s">
        <v>1185</v>
      </c>
      <c r="H432" s="3" t="s">
        <v>24</v>
      </c>
      <c r="I432" s="2" t="s">
        <v>2693</v>
      </c>
      <c r="J432" s="3" t="s">
        <v>35</v>
      </c>
      <c r="K432">
        <f t="shared" si="12"/>
        <v>2025</v>
      </c>
      <c r="L432" t="str">
        <f t="shared" si="13"/>
        <v>61-70</v>
      </c>
      <c r="M432">
        <f>Table2[[#This Row],[appointment_date]]-Table2[[#This Row],[booking_date]]</f>
        <v>523</v>
      </c>
    </row>
    <row r="433" spans="1:13" x14ac:dyDescent="0.25">
      <c r="A433" s="4">
        <v>1030</v>
      </c>
      <c r="B433" s="3" t="s">
        <v>1186</v>
      </c>
      <c r="C433" s="4">
        <v>80</v>
      </c>
      <c r="D433" s="3" t="s">
        <v>68</v>
      </c>
      <c r="E433" s="5">
        <v>46063</v>
      </c>
      <c r="F433" s="5">
        <v>45674</v>
      </c>
      <c r="G433" s="3" t="s">
        <v>1187</v>
      </c>
      <c r="H433" s="3" t="s">
        <v>13</v>
      </c>
      <c r="I433" s="2">
        <v>543.54999999999995</v>
      </c>
      <c r="J433" s="3" t="s">
        <v>30</v>
      </c>
      <c r="K433">
        <f t="shared" si="12"/>
        <v>2026</v>
      </c>
      <c r="L433" t="str">
        <f t="shared" si="13"/>
        <v>71-80</v>
      </c>
      <c r="M433">
        <f>Table2[[#This Row],[appointment_date]]-Table2[[#This Row],[booking_date]]</f>
        <v>389</v>
      </c>
    </row>
    <row r="434" spans="1:13" x14ac:dyDescent="0.25">
      <c r="A434" s="4">
        <v>1013</v>
      </c>
      <c r="B434" s="3" t="s">
        <v>1189</v>
      </c>
      <c r="C434" s="4">
        <v>86</v>
      </c>
      <c r="D434" s="3" t="s">
        <v>68</v>
      </c>
      <c r="E434" s="5">
        <v>45907</v>
      </c>
      <c r="F434" s="5">
        <v>45668</v>
      </c>
      <c r="G434" s="3" t="s">
        <v>1190</v>
      </c>
      <c r="H434" s="3" t="s">
        <v>24</v>
      </c>
      <c r="I434" s="2">
        <v>340.35</v>
      </c>
      <c r="J434" s="3" t="s">
        <v>30</v>
      </c>
      <c r="K434">
        <f t="shared" si="12"/>
        <v>2025</v>
      </c>
      <c r="L434" t="str">
        <f t="shared" si="13"/>
        <v>81-90</v>
      </c>
      <c r="M434">
        <f>Table2[[#This Row],[appointment_date]]-Table2[[#This Row],[booking_date]]</f>
        <v>239</v>
      </c>
    </row>
    <row r="435" spans="1:13" x14ac:dyDescent="0.25">
      <c r="A435" s="4">
        <v>1092</v>
      </c>
      <c r="B435" s="3" t="s">
        <v>1192</v>
      </c>
      <c r="C435" s="4">
        <v>42</v>
      </c>
      <c r="D435" s="3" t="s">
        <v>68</v>
      </c>
      <c r="E435" s="5">
        <v>45767</v>
      </c>
      <c r="F435" s="5">
        <v>45574</v>
      </c>
      <c r="G435" s="3" t="s">
        <v>1193</v>
      </c>
      <c r="H435" s="3" t="s">
        <v>13</v>
      </c>
      <c r="I435" s="2">
        <v>496.31</v>
      </c>
      <c r="J435" s="3" t="s">
        <v>35</v>
      </c>
      <c r="K435">
        <f t="shared" si="12"/>
        <v>2025</v>
      </c>
      <c r="L435" t="str">
        <f t="shared" si="13"/>
        <v>41-50</v>
      </c>
      <c r="M435">
        <f>Table2[[#This Row],[appointment_date]]-Table2[[#This Row],[booking_date]]</f>
        <v>193</v>
      </c>
    </row>
    <row r="436" spans="1:13" x14ac:dyDescent="0.25">
      <c r="A436" s="4">
        <v>1027</v>
      </c>
      <c r="B436" s="3" t="s">
        <v>1195</v>
      </c>
      <c r="C436" s="4">
        <v>63</v>
      </c>
      <c r="D436" s="3" t="s">
        <v>68</v>
      </c>
      <c r="E436" s="5">
        <v>45847</v>
      </c>
      <c r="F436" s="5">
        <v>45504</v>
      </c>
      <c r="G436" s="3" t="s">
        <v>1196</v>
      </c>
      <c r="H436" s="3" t="s">
        <v>18</v>
      </c>
      <c r="I436" s="2">
        <v>3.51</v>
      </c>
      <c r="J436" s="3" t="s">
        <v>35</v>
      </c>
      <c r="K436">
        <f t="shared" si="12"/>
        <v>2025</v>
      </c>
      <c r="L436" t="str">
        <f t="shared" si="13"/>
        <v>61-70</v>
      </c>
      <c r="M436">
        <f>Table2[[#This Row],[appointment_date]]-Table2[[#This Row],[booking_date]]</f>
        <v>343</v>
      </c>
    </row>
    <row r="437" spans="1:13" x14ac:dyDescent="0.25">
      <c r="A437" s="4">
        <v>1067</v>
      </c>
      <c r="B437" s="3" t="s">
        <v>763</v>
      </c>
      <c r="C437" s="4">
        <v>54</v>
      </c>
      <c r="D437" s="3" t="s">
        <v>37</v>
      </c>
      <c r="E437" s="5">
        <v>45911</v>
      </c>
      <c r="F437" s="5">
        <v>45905</v>
      </c>
      <c r="G437" s="3" t="s">
        <v>1198</v>
      </c>
      <c r="H437" s="3" t="s">
        <v>13</v>
      </c>
      <c r="I437" s="2">
        <v>108.91</v>
      </c>
      <c r="J437" s="3" t="s">
        <v>30</v>
      </c>
      <c r="K437">
        <f t="shared" si="12"/>
        <v>2025</v>
      </c>
      <c r="L437" t="str">
        <f t="shared" si="13"/>
        <v>51-60</v>
      </c>
      <c r="M437">
        <f>Table2[[#This Row],[appointment_date]]-Table2[[#This Row],[booking_date]]</f>
        <v>6</v>
      </c>
    </row>
    <row r="438" spans="1:13" x14ac:dyDescent="0.25">
      <c r="A438" s="4">
        <v>1059</v>
      </c>
      <c r="B438" s="3" t="s">
        <v>1199</v>
      </c>
      <c r="C438" s="4">
        <v>34</v>
      </c>
      <c r="D438" s="3" t="s">
        <v>68</v>
      </c>
      <c r="E438" s="5">
        <v>45910</v>
      </c>
      <c r="F438" s="5">
        <v>45595</v>
      </c>
      <c r="G438" s="3" t="s">
        <v>1200</v>
      </c>
      <c r="H438" s="3" t="s">
        <v>24</v>
      </c>
      <c r="I438" s="2">
        <v>222.35</v>
      </c>
      <c r="J438" s="3" t="s">
        <v>35</v>
      </c>
      <c r="K438">
        <f t="shared" si="12"/>
        <v>2025</v>
      </c>
      <c r="L438" t="str">
        <f t="shared" si="13"/>
        <v>31-40</v>
      </c>
      <c r="M438">
        <f>Table2[[#This Row],[appointment_date]]-Table2[[#This Row],[booking_date]]</f>
        <v>315</v>
      </c>
    </row>
    <row r="439" spans="1:13" x14ac:dyDescent="0.25">
      <c r="A439" s="4">
        <v>1040</v>
      </c>
      <c r="B439" s="3" t="s">
        <v>1202</v>
      </c>
      <c r="C439" s="4">
        <v>22</v>
      </c>
      <c r="D439" s="3" t="s">
        <v>37</v>
      </c>
      <c r="E439" s="5">
        <v>46006</v>
      </c>
      <c r="F439" s="5">
        <v>45430</v>
      </c>
      <c r="G439" s="3" t="s">
        <v>1203</v>
      </c>
      <c r="H439" s="3" t="s">
        <v>18</v>
      </c>
      <c r="I439" s="2">
        <v>591.41</v>
      </c>
      <c r="J439" s="3" t="s">
        <v>30</v>
      </c>
      <c r="K439">
        <f t="shared" si="12"/>
        <v>2025</v>
      </c>
      <c r="L439" t="str">
        <f t="shared" si="13"/>
        <v>18-30</v>
      </c>
      <c r="M439">
        <f>Table2[[#This Row],[appointment_date]]-Table2[[#This Row],[booking_date]]</f>
        <v>576</v>
      </c>
    </row>
    <row r="440" spans="1:13" x14ac:dyDescent="0.25">
      <c r="A440" s="4">
        <v>1058</v>
      </c>
      <c r="B440" s="3" t="s">
        <v>1205</v>
      </c>
      <c r="C440" s="4">
        <v>84</v>
      </c>
      <c r="D440" s="3" t="s">
        <v>37</v>
      </c>
      <c r="E440" s="5">
        <v>45954</v>
      </c>
      <c r="F440" s="5">
        <v>45743</v>
      </c>
      <c r="G440" s="3" t="s">
        <v>1206</v>
      </c>
      <c r="H440" s="3" t="s">
        <v>24</v>
      </c>
      <c r="I440" s="2">
        <v>396.57</v>
      </c>
      <c r="J440" s="3" t="s">
        <v>35</v>
      </c>
      <c r="K440">
        <f t="shared" si="12"/>
        <v>2025</v>
      </c>
      <c r="L440" t="str">
        <f t="shared" si="13"/>
        <v>81-90</v>
      </c>
      <c r="M440">
        <f>Table2[[#This Row],[appointment_date]]-Table2[[#This Row],[booking_date]]</f>
        <v>211</v>
      </c>
    </row>
    <row r="441" spans="1:13" x14ac:dyDescent="0.25">
      <c r="A441" s="4">
        <v>1080</v>
      </c>
      <c r="B441" s="3" t="s">
        <v>1207</v>
      </c>
      <c r="C441" s="4">
        <v>45</v>
      </c>
      <c r="D441" s="3" t="s">
        <v>37</v>
      </c>
      <c r="E441" s="5">
        <v>45972</v>
      </c>
      <c r="F441" s="5">
        <v>45818</v>
      </c>
      <c r="G441" s="3" t="s">
        <v>1208</v>
      </c>
      <c r="H441" s="3" t="s">
        <v>13</v>
      </c>
      <c r="I441" s="2">
        <v>2.04</v>
      </c>
      <c r="J441" s="3" t="s">
        <v>30</v>
      </c>
      <c r="K441">
        <f t="shared" si="12"/>
        <v>2025</v>
      </c>
      <c r="L441" t="str">
        <f t="shared" si="13"/>
        <v>41-50</v>
      </c>
      <c r="M441">
        <f>Table2[[#This Row],[appointment_date]]-Table2[[#This Row],[booking_date]]</f>
        <v>154</v>
      </c>
    </row>
    <row r="442" spans="1:13" x14ac:dyDescent="0.25">
      <c r="A442" s="4">
        <v>1026</v>
      </c>
      <c r="B442" s="3" t="s">
        <v>1210</v>
      </c>
      <c r="C442" s="4">
        <v>47</v>
      </c>
      <c r="D442" s="3" t="s">
        <v>37</v>
      </c>
      <c r="E442" s="5">
        <v>46070</v>
      </c>
      <c r="F442" s="5">
        <v>45421</v>
      </c>
      <c r="G442" s="3" t="s">
        <v>1211</v>
      </c>
      <c r="H442" s="3" t="s">
        <v>13</v>
      </c>
      <c r="I442" s="2">
        <v>215.89</v>
      </c>
      <c r="J442" s="3" t="s">
        <v>30</v>
      </c>
      <c r="K442">
        <f t="shared" si="12"/>
        <v>2026</v>
      </c>
      <c r="L442" t="str">
        <f t="shared" si="13"/>
        <v>41-50</v>
      </c>
      <c r="M442">
        <f>Table2[[#This Row],[appointment_date]]-Table2[[#This Row],[booking_date]]</f>
        <v>649</v>
      </c>
    </row>
    <row r="443" spans="1:13" x14ac:dyDescent="0.25">
      <c r="A443" s="4">
        <v>1058</v>
      </c>
      <c r="B443" s="3" t="s">
        <v>1212</v>
      </c>
      <c r="C443" s="4">
        <v>88</v>
      </c>
      <c r="D443" s="3"/>
      <c r="E443" s="5">
        <v>45949</v>
      </c>
      <c r="F443" s="5">
        <v>45612</v>
      </c>
      <c r="G443" s="3" t="s">
        <v>1213</v>
      </c>
      <c r="H443" s="3" t="s">
        <v>24</v>
      </c>
      <c r="I443" s="2">
        <v>583.62</v>
      </c>
      <c r="J443" s="3" t="s">
        <v>30</v>
      </c>
      <c r="K443">
        <f t="shared" si="12"/>
        <v>2025</v>
      </c>
      <c r="L443" t="str">
        <f t="shared" si="13"/>
        <v>81-90</v>
      </c>
      <c r="M443">
        <f>Table2[[#This Row],[appointment_date]]-Table2[[#This Row],[booking_date]]</f>
        <v>337</v>
      </c>
    </row>
    <row r="444" spans="1:13" x14ac:dyDescent="0.25">
      <c r="A444" s="4">
        <v>1065</v>
      </c>
      <c r="B444" s="3" t="s">
        <v>1215</v>
      </c>
      <c r="C444" s="4">
        <v>28</v>
      </c>
      <c r="D444" s="3" t="s">
        <v>68</v>
      </c>
      <c r="E444" s="5">
        <v>45893</v>
      </c>
      <c r="F444" s="5">
        <v>45867</v>
      </c>
      <c r="G444" s="3" t="s">
        <v>1216</v>
      </c>
      <c r="H444" s="3" t="s">
        <v>24</v>
      </c>
      <c r="I444" s="2">
        <v>259.5</v>
      </c>
      <c r="J444" s="3" t="s">
        <v>35</v>
      </c>
      <c r="K444">
        <f t="shared" si="12"/>
        <v>2025</v>
      </c>
      <c r="L444" t="str">
        <f t="shared" si="13"/>
        <v>18-30</v>
      </c>
      <c r="M444">
        <f>Table2[[#This Row],[appointment_date]]-Table2[[#This Row],[booking_date]]</f>
        <v>26</v>
      </c>
    </row>
    <row r="445" spans="1:13" x14ac:dyDescent="0.25">
      <c r="A445" s="4">
        <v>1016</v>
      </c>
      <c r="B445" s="3" t="s">
        <v>1218</v>
      </c>
      <c r="C445" s="4">
        <v>42</v>
      </c>
      <c r="D445" s="3" t="s">
        <v>68</v>
      </c>
      <c r="E445" s="5">
        <v>45966</v>
      </c>
      <c r="F445" s="5">
        <v>45507</v>
      </c>
      <c r="G445" s="3" t="s">
        <v>1219</v>
      </c>
      <c r="H445" s="3" t="s">
        <v>28</v>
      </c>
      <c r="I445" s="2" t="s">
        <v>2693</v>
      </c>
      <c r="J445" s="3" t="s">
        <v>35</v>
      </c>
      <c r="K445">
        <f t="shared" si="12"/>
        <v>2025</v>
      </c>
      <c r="L445" t="str">
        <f t="shared" si="13"/>
        <v>41-50</v>
      </c>
      <c r="M445">
        <f>Table2[[#This Row],[appointment_date]]-Table2[[#This Row],[booking_date]]</f>
        <v>459</v>
      </c>
    </row>
    <row r="446" spans="1:13" x14ac:dyDescent="0.25">
      <c r="A446" s="4">
        <v>1064</v>
      </c>
      <c r="B446" s="3" t="s">
        <v>1220</v>
      </c>
      <c r="C446" s="4">
        <v>27</v>
      </c>
      <c r="D446" s="3" t="s">
        <v>37</v>
      </c>
      <c r="E446" s="5">
        <v>46073</v>
      </c>
      <c r="F446" s="5">
        <v>45844</v>
      </c>
      <c r="G446" s="3" t="s">
        <v>1221</v>
      </c>
      <c r="H446" s="3" t="s">
        <v>28</v>
      </c>
      <c r="I446" s="2">
        <v>231.22</v>
      </c>
      <c r="J446" s="3" t="s">
        <v>35</v>
      </c>
      <c r="K446">
        <f t="shared" si="12"/>
        <v>2026</v>
      </c>
      <c r="L446" t="str">
        <f t="shared" si="13"/>
        <v>18-30</v>
      </c>
      <c r="M446">
        <f>Table2[[#This Row],[appointment_date]]-Table2[[#This Row],[booking_date]]</f>
        <v>229</v>
      </c>
    </row>
    <row r="447" spans="1:13" x14ac:dyDescent="0.25">
      <c r="A447" s="4">
        <v>1036</v>
      </c>
      <c r="B447" s="3" t="s">
        <v>1223</v>
      </c>
      <c r="C447" s="4">
        <v>59</v>
      </c>
      <c r="D447" s="3" t="s">
        <v>68</v>
      </c>
      <c r="E447" s="5">
        <v>45946</v>
      </c>
      <c r="F447" s="5">
        <v>45411</v>
      </c>
      <c r="G447" s="3" t="s">
        <v>1224</v>
      </c>
      <c r="H447" s="3" t="s">
        <v>13</v>
      </c>
      <c r="I447" s="2">
        <v>285.44</v>
      </c>
      <c r="J447" s="3" t="s">
        <v>35</v>
      </c>
      <c r="K447">
        <f t="shared" si="12"/>
        <v>2025</v>
      </c>
      <c r="L447" t="str">
        <f t="shared" si="13"/>
        <v>51-60</v>
      </c>
      <c r="M447">
        <f>Table2[[#This Row],[appointment_date]]-Table2[[#This Row],[booking_date]]</f>
        <v>535</v>
      </c>
    </row>
    <row r="448" spans="1:13" x14ac:dyDescent="0.25">
      <c r="A448" s="4">
        <v>1017</v>
      </c>
      <c r="B448" s="3" t="s">
        <v>1225</v>
      </c>
      <c r="C448" s="4">
        <v>34</v>
      </c>
      <c r="D448" s="3" t="s">
        <v>37</v>
      </c>
      <c r="E448" s="5">
        <v>45858</v>
      </c>
      <c r="F448" s="5">
        <v>45791</v>
      </c>
      <c r="G448" s="3" t="s">
        <v>1226</v>
      </c>
      <c r="H448" s="3" t="s">
        <v>28</v>
      </c>
      <c r="I448" s="2">
        <v>2.23</v>
      </c>
      <c r="J448" s="3" t="s">
        <v>30</v>
      </c>
      <c r="K448">
        <f t="shared" si="12"/>
        <v>2025</v>
      </c>
      <c r="L448" t="str">
        <f t="shared" si="13"/>
        <v>31-40</v>
      </c>
      <c r="M448">
        <f>Table2[[#This Row],[appointment_date]]-Table2[[#This Row],[booking_date]]</f>
        <v>67</v>
      </c>
    </row>
    <row r="449" spans="1:13" x14ac:dyDescent="0.25">
      <c r="A449" s="4">
        <v>1005</v>
      </c>
      <c r="B449" s="3" t="s">
        <v>1228</v>
      </c>
      <c r="C449" s="4">
        <v>69</v>
      </c>
      <c r="D449" s="3" t="s">
        <v>68</v>
      </c>
      <c r="E449" s="5">
        <v>45936</v>
      </c>
      <c r="F449" s="5">
        <v>45625</v>
      </c>
      <c r="G449" s="3" t="s">
        <v>1229</v>
      </c>
      <c r="H449" s="3" t="s">
        <v>24</v>
      </c>
      <c r="I449" s="2">
        <v>429.49</v>
      </c>
      <c r="J449" s="3" t="s">
        <v>35</v>
      </c>
      <c r="K449">
        <f t="shared" si="12"/>
        <v>2025</v>
      </c>
      <c r="L449" t="str">
        <f t="shared" si="13"/>
        <v>61-70</v>
      </c>
      <c r="M449">
        <f>Table2[[#This Row],[appointment_date]]-Table2[[#This Row],[booking_date]]</f>
        <v>311</v>
      </c>
    </row>
    <row r="450" spans="1:13" x14ac:dyDescent="0.25">
      <c r="A450" s="4">
        <v>1086</v>
      </c>
      <c r="B450" s="3" t="s">
        <v>1231</v>
      </c>
      <c r="C450" s="4">
        <v>84</v>
      </c>
      <c r="D450" s="3" t="s">
        <v>68</v>
      </c>
      <c r="E450" s="5">
        <v>46015</v>
      </c>
      <c r="F450" s="5">
        <v>45534</v>
      </c>
      <c r="G450" s="3" t="s">
        <v>1232</v>
      </c>
      <c r="H450" s="3" t="s">
        <v>28</v>
      </c>
      <c r="I450" s="2">
        <v>402.54</v>
      </c>
      <c r="J450" s="3" t="s">
        <v>35</v>
      </c>
      <c r="K450">
        <f t="shared" si="12"/>
        <v>2025</v>
      </c>
      <c r="L450" t="str">
        <f t="shared" si="13"/>
        <v>81-90</v>
      </c>
      <c r="M450">
        <f>Table2[[#This Row],[appointment_date]]-Table2[[#This Row],[booking_date]]</f>
        <v>481</v>
      </c>
    </row>
    <row r="451" spans="1:13" x14ac:dyDescent="0.25">
      <c r="A451" s="4">
        <v>1095</v>
      </c>
      <c r="B451" s="3" t="s">
        <v>1234</v>
      </c>
      <c r="C451" s="4">
        <v>37</v>
      </c>
      <c r="D451" s="3" t="s">
        <v>68</v>
      </c>
      <c r="E451" s="5">
        <v>45914</v>
      </c>
      <c r="F451" s="5">
        <v>45432</v>
      </c>
      <c r="G451" s="3" t="s">
        <v>1235</v>
      </c>
      <c r="H451" s="3" t="s">
        <v>18</v>
      </c>
      <c r="I451" s="2">
        <v>628.52</v>
      </c>
      <c r="J451" s="3" t="s">
        <v>35</v>
      </c>
      <c r="K451">
        <f t="shared" ref="K451:K514" si="14">YEAR(E451)</f>
        <v>2025</v>
      </c>
      <c r="L451" t="str">
        <f t="shared" ref="L451:L514" si="15">IF(C451="","",IF(C451&lt;=30,"18-30",IF(C451&lt;=40,"31-40",IF(C451&lt;=50,"41-50",IF(C451&lt;=60,"51-60",IF(C451&lt;=70,"61-70",IF(C451&lt;=80,"71-80","81-90")))))))</f>
        <v>31-40</v>
      </c>
      <c r="M451">
        <f>Table2[[#This Row],[appointment_date]]-Table2[[#This Row],[booking_date]]</f>
        <v>482</v>
      </c>
    </row>
    <row r="452" spans="1:13" x14ac:dyDescent="0.25">
      <c r="A452" s="4">
        <v>1030</v>
      </c>
      <c r="B452" s="3" t="s">
        <v>1237</v>
      </c>
      <c r="C452" s="4">
        <v>25</v>
      </c>
      <c r="D452" s="3" t="s">
        <v>37</v>
      </c>
      <c r="E452" s="5">
        <v>45771</v>
      </c>
      <c r="F452" s="5">
        <v>45396</v>
      </c>
      <c r="G452" s="3" t="s">
        <v>1238</v>
      </c>
      <c r="H452" s="3" t="s">
        <v>18</v>
      </c>
      <c r="I452" s="2">
        <v>467.28</v>
      </c>
      <c r="J452" s="3" t="s">
        <v>30</v>
      </c>
      <c r="K452">
        <f t="shared" si="14"/>
        <v>2025</v>
      </c>
      <c r="L452" t="str">
        <f t="shared" si="15"/>
        <v>18-30</v>
      </c>
      <c r="M452">
        <f>Table2[[#This Row],[appointment_date]]-Table2[[#This Row],[booking_date]]</f>
        <v>375</v>
      </c>
    </row>
    <row r="453" spans="1:13" x14ac:dyDescent="0.25">
      <c r="A453" s="4">
        <v>1059</v>
      </c>
      <c r="B453" s="3" t="s">
        <v>1240</v>
      </c>
      <c r="C453" s="4">
        <v>84</v>
      </c>
      <c r="D453" s="3" t="s">
        <v>37</v>
      </c>
      <c r="E453" s="5">
        <v>46097</v>
      </c>
      <c r="F453" s="5">
        <v>45630</v>
      </c>
      <c r="G453" s="3" t="s">
        <v>1241</v>
      </c>
      <c r="H453" s="3" t="s">
        <v>24</v>
      </c>
      <c r="I453" s="2">
        <v>244.68</v>
      </c>
      <c r="J453" s="3" t="s">
        <v>35</v>
      </c>
      <c r="K453">
        <f t="shared" si="14"/>
        <v>2026</v>
      </c>
      <c r="L453" t="str">
        <f t="shared" si="15"/>
        <v>81-90</v>
      </c>
      <c r="M453">
        <f>Table2[[#This Row],[appointment_date]]-Table2[[#This Row],[booking_date]]</f>
        <v>467</v>
      </c>
    </row>
    <row r="454" spans="1:13" x14ac:dyDescent="0.25">
      <c r="A454" s="4">
        <v>1012</v>
      </c>
      <c r="B454" s="3" t="s">
        <v>1242</v>
      </c>
      <c r="C454" s="4">
        <v>30</v>
      </c>
      <c r="D454" s="3" t="s">
        <v>37</v>
      </c>
      <c r="E454" s="5">
        <v>46030</v>
      </c>
      <c r="F454" s="5">
        <v>45888</v>
      </c>
      <c r="G454" s="3" t="s">
        <v>1243</v>
      </c>
      <c r="H454" s="3" t="s">
        <v>13</v>
      </c>
      <c r="I454" s="2">
        <v>70.7</v>
      </c>
      <c r="J454" s="3" t="s">
        <v>35</v>
      </c>
      <c r="K454">
        <f t="shared" si="14"/>
        <v>2026</v>
      </c>
      <c r="L454" t="str">
        <f t="shared" si="15"/>
        <v>18-30</v>
      </c>
      <c r="M454">
        <f>Table2[[#This Row],[appointment_date]]-Table2[[#This Row],[booking_date]]</f>
        <v>142</v>
      </c>
    </row>
    <row r="455" spans="1:13" x14ac:dyDescent="0.25">
      <c r="A455" s="4">
        <v>1074</v>
      </c>
      <c r="B455" s="3" t="s">
        <v>1244</v>
      </c>
      <c r="C455" s="4">
        <v>64</v>
      </c>
      <c r="D455" s="3" t="s">
        <v>68</v>
      </c>
      <c r="E455" s="5">
        <v>45832</v>
      </c>
      <c r="F455" s="5">
        <v>45571</v>
      </c>
      <c r="G455" s="3" t="s">
        <v>1245</v>
      </c>
      <c r="H455" s="3" t="s">
        <v>28</v>
      </c>
      <c r="I455" s="2">
        <v>432.73</v>
      </c>
      <c r="J455" s="3" t="s">
        <v>30</v>
      </c>
      <c r="K455">
        <f t="shared" si="14"/>
        <v>2025</v>
      </c>
      <c r="L455" t="str">
        <f t="shared" si="15"/>
        <v>61-70</v>
      </c>
      <c r="M455">
        <f>Table2[[#This Row],[appointment_date]]-Table2[[#This Row],[booking_date]]</f>
        <v>261</v>
      </c>
    </row>
    <row r="456" spans="1:13" x14ac:dyDescent="0.25">
      <c r="A456" s="4">
        <v>1082</v>
      </c>
      <c r="B456" s="3" t="s">
        <v>1247</v>
      </c>
      <c r="C456" s="4">
        <v>33</v>
      </c>
      <c r="D456" s="3" t="s">
        <v>68</v>
      </c>
      <c r="E456" s="5">
        <v>45819</v>
      </c>
      <c r="F456" s="5">
        <v>45707</v>
      </c>
      <c r="G456" s="3" t="s">
        <v>1248</v>
      </c>
      <c r="H456" s="3" t="s">
        <v>24</v>
      </c>
      <c r="I456" s="2">
        <v>387.75</v>
      </c>
      <c r="J456" s="3" t="s">
        <v>35</v>
      </c>
      <c r="K456">
        <f t="shared" si="14"/>
        <v>2025</v>
      </c>
      <c r="L456" t="str">
        <f t="shared" si="15"/>
        <v>31-40</v>
      </c>
      <c r="M456">
        <f>Table2[[#This Row],[appointment_date]]-Table2[[#This Row],[booking_date]]</f>
        <v>112</v>
      </c>
    </row>
    <row r="457" spans="1:13" x14ac:dyDescent="0.25">
      <c r="A457" s="4">
        <v>1009</v>
      </c>
      <c r="B457" s="3" t="s">
        <v>1249</v>
      </c>
      <c r="C457" s="4">
        <v>63</v>
      </c>
      <c r="D457" s="3" t="s">
        <v>68</v>
      </c>
      <c r="E457" s="5">
        <v>46070</v>
      </c>
      <c r="F457" s="5">
        <v>46033</v>
      </c>
      <c r="G457" s="3" t="s">
        <v>1250</v>
      </c>
      <c r="H457" s="3" t="s">
        <v>13</v>
      </c>
      <c r="I457" s="2">
        <v>1.94</v>
      </c>
      <c r="J457" s="3" t="s">
        <v>30</v>
      </c>
      <c r="K457">
        <f t="shared" si="14"/>
        <v>2026</v>
      </c>
      <c r="L457" t="str">
        <f t="shared" si="15"/>
        <v>61-70</v>
      </c>
      <c r="M457">
        <f>Table2[[#This Row],[appointment_date]]-Table2[[#This Row],[booking_date]]</f>
        <v>37</v>
      </c>
    </row>
    <row r="458" spans="1:13" x14ac:dyDescent="0.25">
      <c r="A458" s="4">
        <v>1091</v>
      </c>
      <c r="B458" s="3" t="s">
        <v>1252</v>
      </c>
      <c r="C458" s="4">
        <v>86</v>
      </c>
      <c r="D458" s="3" t="s">
        <v>68</v>
      </c>
      <c r="E458" s="5">
        <v>46014</v>
      </c>
      <c r="F458" s="5">
        <v>45620</v>
      </c>
      <c r="G458" s="3" t="s">
        <v>1253</v>
      </c>
      <c r="H458" s="3" t="s">
        <v>28</v>
      </c>
      <c r="I458" s="2">
        <v>5.41</v>
      </c>
      <c r="J458" s="3" t="s">
        <v>30</v>
      </c>
      <c r="K458">
        <f t="shared" si="14"/>
        <v>2025</v>
      </c>
      <c r="L458" t="str">
        <f t="shared" si="15"/>
        <v>81-90</v>
      </c>
      <c r="M458">
        <f>Table2[[#This Row],[appointment_date]]-Table2[[#This Row],[booking_date]]</f>
        <v>394</v>
      </c>
    </row>
    <row r="459" spans="1:13" x14ac:dyDescent="0.25">
      <c r="A459" s="4">
        <v>1038</v>
      </c>
      <c r="B459" s="3" t="s">
        <v>1255</v>
      </c>
      <c r="C459" s="4">
        <v>54</v>
      </c>
      <c r="D459" s="3" t="s">
        <v>37</v>
      </c>
      <c r="E459" s="5">
        <v>45824</v>
      </c>
      <c r="F459" s="5">
        <v>45771</v>
      </c>
      <c r="G459" s="3" t="s">
        <v>1256</v>
      </c>
      <c r="H459" s="3" t="s">
        <v>28</v>
      </c>
      <c r="I459" s="2">
        <v>325.91000000000003</v>
      </c>
      <c r="J459" s="3" t="s">
        <v>30</v>
      </c>
      <c r="K459">
        <f t="shared" si="14"/>
        <v>2025</v>
      </c>
      <c r="L459" t="str">
        <f t="shared" si="15"/>
        <v>51-60</v>
      </c>
      <c r="M459">
        <f>Table2[[#This Row],[appointment_date]]-Table2[[#This Row],[booking_date]]</f>
        <v>53</v>
      </c>
    </row>
    <row r="460" spans="1:13" x14ac:dyDescent="0.25">
      <c r="A460" s="4">
        <v>1037</v>
      </c>
      <c r="B460" s="3" t="s">
        <v>1257</v>
      </c>
      <c r="C460" s="4">
        <v>52</v>
      </c>
      <c r="D460" s="3" t="s">
        <v>68</v>
      </c>
      <c r="E460" s="5">
        <v>45997</v>
      </c>
      <c r="F460" s="5">
        <v>45676</v>
      </c>
      <c r="G460" s="3" t="s">
        <v>1258</v>
      </c>
      <c r="H460" s="3" t="s">
        <v>28</v>
      </c>
      <c r="I460" s="2" t="s">
        <v>2693</v>
      </c>
      <c r="J460" s="3" t="s">
        <v>30</v>
      </c>
      <c r="K460">
        <f t="shared" si="14"/>
        <v>2025</v>
      </c>
      <c r="L460" t="str">
        <f t="shared" si="15"/>
        <v>51-60</v>
      </c>
      <c r="M460">
        <f>Table2[[#This Row],[appointment_date]]-Table2[[#This Row],[booking_date]]</f>
        <v>321</v>
      </c>
    </row>
    <row r="461" spans="1:13" x14ac:dyDescent="0.25">
      <c r="A461" s="4">
        <v>1053</v>
      </c>
      <c r="B461" s="3" t="s">
        <v>957</v>
      </c>
      <c r="C461" s="4">
        <v>30</v>
      </c>
      <c r="D461" s="3" t="s">
        <v>37</v>
      </c>
      <c r="E461" s="5">
        <v>46022</v>
      </c>
      <c r="F461" s="5">
        <v>45975</v>
      </c>
      <c r="G461" s="3" t="s">
        <v>1259</v>
      </c>
      <c r="H461" s="3" t="s">
        <v>13</v>
      </c>
      <c r="I461" s="2">
        <v>280.20999999999998</v>
      </c>
      <c r="J461" s="3" t="s">
        <v>35</v>
      </c>
      <c r="K461">
        <f t="shared" si="14"/>
        <v>2025</v>
      </c>
      <c r="L461" t="str">
        <f t="shared" si="15"/>
        <v>18-30</v>
      </c>
      <c r="M461">
        <f>Table2[[#This Row],[appointment_date]]-Table2[[#This Row],[booking_date]]</f>
        <v>47</v>
      </c>
    </row>
    <row r="462" spans="1:13" x14ac:dyDescent="0.25">
      <c r="A462" s="4">
        <v>1043</v>
      </c>
      <c r="B462" s="3" t="s">
        <v>1260</v>
      </c>
      <c r="C462" s="4">
        <v>28</v>
      </c>
      <c r="D462" s="3" t="s">
        <v>37</v>
      </c>
      <c r="E462" s="5">
        <v>45927</v>
      </c>
      <c r="F462" s="5">
        <v>45827</v>
      </c>
      <c r="G462" s="3" t="s">
        <v>1261</v>
      </c>
      <c r="H462" s="3" t="s">
        <v>28</v>
      </c>
      <c r="I462" s="2">
        <v>0.97</v>
      </c>
      <c r="J462" s="3" t="s">
        <v>30</v>
      </c>
      <c r="K462">
        <f t="shared" si="14"/>
        <v>2025</v>
      </c>
      <c r="L462" t="str">
        <f t="shared" si="15"/>
        <v>18-30</v>
      </c>
      <c r="M462">
        <f>Table2[[#This Row],[appointment_date]]-Table2[[#This Row],[booking_date]]</f>
        <v>100</v>
      </c>
    </row>
    <row r="463" spans="1:13" x14ac:dyDescent="0.25">
      <c r="A463" s="4">
        <v>1021</v>
      </c>
      <c r="B463" s="3" t="s">
        <v>1263</v>
      </c>
      <c r="C463" s="4">
        <v>53</v>
      </c>
      <c r="D463" s="3" t="s">
        <v>68</v>
      </c>
      <c r="E463" s="5">
        <v>46069</v>
      </c>
      <c r="F463" s="5">
        <v>45751</v>
      </c>
      <c r="G463" s="3" t="s">
        <v>1264</v>
      </c>
      <c r="H463" s="3" t="s">
        <v>24</v>
      </c>
      <c r="I463" s="2">
        <v>443.75</v>
      </c>
      <c r="J463" s="3" t="s">
        <v>35</v>
      </c>
      <c r="K463">
        <f t="shared" si="14"/>
        <v>2026</v>
      </c>
      <c r="L463" t="str">
        <f t="shared" si="15"/>
        <v>51-60</v>
      </c>
      <c r="M463">
        <f>Table2[[#This Row],[appointment_date]]-Table2[[#This Row],[booking_date]]</f>
        <v>318</v>
      </c>
    </row>
    <row r="464" spans="1:13" x14ac:dyDescent="0.25">
      <c r="A464" s="4">
        <v>1059</v>
      </c>
      <c r="B464" s="3" t="s">
        <v>1265</v>
      </c>
      <c r="C464" s="4">
        <v>57</v>
      </c>
      <c r="D464" s="3" t="s">
        <v>68</v>
      </c>
      <c r="E464" s="5">
        <v>45896</v>
      </c>
      <c r="F464" s="5">
        <v>45387</v>
      </c>
      <c r="G464" s="3" t="s">
        <v>1266</v>
      </c>
      <c r="H464" s="3" t="s">
        <v>13</v>
      </c>
      <c r="I464" s="2">
        <v>385.61</v>
      </c>
      <c r="J464" s="3" t="s">
        <v>35</v>
      </c>
      <c r="K464">
        <f t="shared" si="14"/>
        <v>2025</v>
      </c>
      <c r="L464" t="str">
        <f t="shared" si="15"/>
        <v>51-60</v>
      </c>
      <c r="M464">
        <f>Table2[[#This Row],[appointment_date]]-Table2[[#This Row],[booking_date]]</f>
        <v>509</v>
      </c>
    </row>
    <row r="465" spans="1:13" x14ac:dyDescent="0.25">
      <c r="A465" s="4">
        <v>1038</v>
      </c>
      <c r="B465" s="3" t="s">
        <v>1267</v>
      </c>
      <c r="C465" s="4">
        <v>19</v>
      </c>
      <c r="D465" s="3" t="s">
        <v>37</v>
      </c>
      <c r="E465" s="5">
        <v>45790</v>
      </c>
      <c r="F465" s="5">
        <v>45491</v>
      </c>
      <c r="G465" s="3" t="s">
        <v>1268</v>
      </c>
      <c r="H465" s="3" t="s">
        <v>13</v>
      </c>
      <c r="I465" s="2">
        <v>3.86</v>
      </c>
      <c r="J465" s="3" t="s">
        <v>35</v>
      </c>
      <c r="K465">
        <f t="shared" si="14"/>
        <v>2025</v>
      </c>
      <c r="L465" t="str">
        <f t="shared" si="15"/>
        <v>18-30</v>
      </c>
      <c r="M465">
        <f>Table2[[#This Row],[appointment_date]]-Table2[[#This Row],[booking_date]]</f>
        <v>299</v>
      </c>
    </row>
    <row r="466" spans="1:13" x14ac:dyDescent="0.25">
      <c r="A466" s="4">
        <v>1065</v>
      </c>
      <c r="B466" s="3" t="s">
        <v>1270</v>
      </c>
      <c r="C466" s="4">
        <v>75</v>
      </c>
      <c r="D466" s="3" t="s">
        <v>68</v>
      </c>
      <c r="E466" s="5">
        <v>46005</v>
      </c>
      <c r="F466" s="5">
        <v>45442</v>
      </c>
      <c r="G466" s="3" t="s">
        <v>1271</v>
      </c>
      <c r="H466" s="3" t="s">
        <v>18</v>
      </c>
      <c r="I466" s="2">
        <v>255.56</v>
      </c>
      <c r="J466" s="3" t="s">
        <v>35</v>
      </c>
      <c r="K466">
        <f t="shared" si="14"/>
        <v>2025</v>
      </c>
      <c r="L466" t="str">
        <f t="shared" si="15"/>
        <v>71-80</v>
      </c>
      <c r="M466">
        <f>Table2[[#This Row],[appointment_date]]-Table2[[#This Row],[booking_date]]</f>
        <v>563</v>
      </c>
    </row>
    <row r="467" spans="1:13" x14ac:dyDescent="0.25">
      <c r="A467" s="4">
        <v>1031</v>
      </c>
      <c r="B467" s="3" t="s">
        <v>1272</v>
      </c>
      <c r="C467" s="4">
        <v>33</v>
      </c>
      <c r="D467" s="3" t="s">
        <v>68</v>
      </c>
      <c r="E467" s="5">
        <v>45913</v>
      </c>
      <c r="F467" s="5">
        <v>45475</v>
      </c>
      <c r="G467" s="3" t="s">
        <v>1273</v>
      </c>
      <c r="H467" s="3" t="s">
        <v>18</v>
      </c>
      <c r="I467" s="2">
        <v>610.24</v>
      </c>
      <c r="J467" s="3" t="s">
        <v>35</v>
      </c>
      <c r="K467">
        <f t="shared" si="14"/>
        <v>2025</v>
      </c>
      <c r="L467" t="str">
        <f t="shared" si="15"/>
        <v>31-40</v>
      </c>
      <c r="M467">
        <f>Table2[[#This Row],[appointment_date]]-Table2[[#This Row],[booking_date]]</f>
        <v>438</v>
      </c>
    </row>
    <row r="468" spans="1:13" x14ac:dyDescent="0.25">
      <c r="A468" s="4">
        <v>1018</v>
      </c>
      <c r="B468" s="3" t="s">
        <v>1275</v>
      </c>
      <c r="C468" s="4">
        <v>20</v>
      </c>
      <c r="D468" s="3" t="s">
        <v>37</v>
      </c>
      <c r="E468" s="5">
        <v>45861</v>
      </c>
      <c r="F468" s="5">
        <v>45830</v>
      </c>
      <c r="G468" s="3" t="s">
        <v>1276</v>
      </c>
      <c r="H468" s="3" t="s">
        <v>24</v>
      </c>
      <c r="I468" s="2">
        <v>154.88</v>
      </c>
      <c r="J468" s="3" t="s">
        <v>30</v>
      </c>
      <c r="K468">
        <f t="shared" si="14"/>
        <v>2025</v>
      </c>
      <c r="L468" t="str">
        <f t="shared" si="15"/>
        <v>18-30</v>
      </c>
      <c r="M468">
        <f>Table2[[#This Row],[appointment_date]]-Table2[[#This Row],[booking_date]]</f>
        <v>31</v>
      </c>
    </row>
    <row r="469" spans="1:13" x14ac:dyDescent="0.25">
      <c r="A469" s="4">
        <v>1081</v>
      </c>
      <c r="B469" s="3" t="s">
        <v>1278</v>
      </c>
      <c r="C469" s="4">
        <v>42</v>
      </c>
      <c r="D469" s="3" t="s">
        <v>37</v>
      </c>
      <c r="E469" s="5">
        <v>46096</v>
      </c>
      <c r="F469" s="5">
        <v>45435</v>
      </c>
      <c r="G469" s="3" t="s">
        <v>1279</v>
      </c>
      <c r="H469" s="3" t="s">
        <v>13</v>
      </c>
      <c r="I469" s="2">
        <v>2.08</v>
      </c>
      <c r="J469" s="3" t="s">
        <v>35</v>
      </c>
      <c r="K469">
        <f t="shared" si="14"/>
        <v>2026</v>
      </c>
      <c r="L469" t="str">
        <f t="shared" si="15"/>
        <v>41-50</v>
      </c>
      <c r="M469">
        <f>Table2[[#This Row],[appointment_date]]-Table2[[#This Row],[booking_date]]</f>
        <v>661</v>
      </c>
    </row>
    <row r="470" spans="1:13" x14ac:dyDescent="0.25">
      <c r="A470" s="4">
        <v>1098</v>
      </c>
      <c r="B470" s="3" t="s">
        <v>1281</v>
      </c>
      <c r="C470" s="4">
        <v>27</v>
      </c>
      <c r="D470" s="3" t="s">
        <v>37</v>
      </c>
      <c r="E470" s="5">
        <v>45883</v>
      </c>
      <c r="F470" s="5">
        <v>45628</v>
      </c>
      <c r="G470" s="3" t="s">
        <v>1282</v>
      </c>
      <c r="H470" s="3" t="s">
        <v>18</v>
      </c>
      <c r="I470" s="2">
        <v>305.17</v>
      </c>
      <c r="J470" s="3" t="s">
        <v>30</v>
      </c>
      <c r="K470">
        <f t="shared" si="14"/>
        <v>2025</v>
      </c>
      <c r="L470" t="str">
        <f t="shared" si="15"/>
        <v>18-30</v>
      </c>
      <c r="M470">
        <f>Table2[[#This Row],[appointment_date]]-Table2[[#This Row],[booking_date]]</f>
        <v>255</v>
      </c>
    </row>
    <row r="471" spans="1:13" x14ac:dyDescent="0.25">
      <c r="A471" s="4">
        <v>1070</v>
      </c>
      <c r="B471" s="3" t="s">
        <v>1284</v>
      </c>
      <c r="C471" s="4">
        <v>56</v>
      </c>
      <c r="D471" s="3" t="s">
        <v>68</v>
      </c>
      <c r="E471" s="5">
        <v>45919</v>
      </c>
      <c r="F471" s="5">
        <v>45563</v>
      </c>
      <c r="G471" s="3" t="s">
        <v>1285</v>
      </c>
      <c r="H471" s="3" t="s">
        <v>13</v>
      </c>
      <c r="I471" s="2">
        <v>504.41</v>
      </c>
      <c r="J471" s="3" t="s">
        <v>35</v>
      </c>
      <c r="K471">
        <f t="shared" si="14"/>
        <v>2025</v>
      </c>
      <c r="L471" t="str">
        <f t="shared" si="15"/>
        <v>51-60</v>
      </c>
      <c r="M471">
        <f>Table2[[#This Row],[appointment_date]]-Table2[[#This Row],[booking_date]]</f>
        <v>356</v>
      </c>
    </row>
    <row r="472" spans="1:13" x14ac:dyDescent="0.25">
      <c r="A472" s="4">
        <v>1093</v>
      </c>
      <c r="B472" s="3" t="s">
        <v>1287</v>
      </c>
      <c r="C472" s="4">
        <v>81</v>
      </c>
      <c r="D472" s="3" t="s">
        <v>37</v>
      </c>
      <c r="E472" s="5">
        <v>46060</v>
      </c>
      <c r="F472" s="5">
        <v>45470</v>
      </c>
      <c r="G472" s="3" t="s">
        <v>1288</v>
      </c>
      <c r="H472" s="3" t="s">
        <v>28</v>
      </c>
      <c r="I472" s="2">
        <v>490.67</v>
      </c>
      <c r="J472" s="3" t="s">
        <v>35</v>
      </c>
      <c r="K472">
        <f t="shared" si="14"/>
        <v>2026</v>
      </c>
      <c r="L472" t="str">
        <f t="shared" si="15"/>
        <v>81-90</v>
      </c>
      <c r="M472">
        <f>Table2[[#This Row],[appointment_date]]-Table2[[#This Row],[booking_date]]</f>
        <v>590</v>
      </c>
    </row>
    <row r="473" spans="1:13" x14ac:dyDescent="0.25">
      <c r="A473" s="4">
        <v>1032</v>
      </c>
      <c r="B473" s="3" t="s">
        <v>1289</v>
      </c>
      <c r="C473" s="4">
        <v>56</v>
      </c>
      <c r="D473" s="3" t="s">
        <v>68</v>
      </c>
      <c r="E473" s="5">
        <v>45927</v>
      </c>
      <c r="F473" s="5">
        <v>45693</v>
      </c>
      <c r="G473" s="3" t="s">
        <v>1290</v>
      </c>
      <c r="H473" s="3" t="s">
        <v>13</v>
      </c>
      <c r="I473" s="2">
        <v>131.9</v>
      </c>
      <c r="J473" s="3" t="s">
        <v>30</v>
      </c>
      <c r="K473">
        <f t="shared" si="14"/>
        <v>2025</v>
      </c>
      <c r="L473" t="str">
        <f t="shared" si="15"/>
        <v>51-60</v>
      </c>
      <c r="M473">
        <f>Table2[[#This Row],[appointment_date]]-Table2[[#This Row],[booking_date]]</f>
        <v>234</v>
      </c>
    </row>
    <row r="474" spans="1:13" x14ac:dyDescent="0.25">
      <c r="A474" s="4">
        <v>1071</v>
      </c>
      <c r="B474" s="3" t="s">
        <v>1292</v>
      </c>
      <c r="C474" s="4">
        <v>80</v>
      </c>
      <c r="D474" s="3" t="s">
        <v>37</v>
      </c>
      <c r="E474" s="5">
        <v>45867</v>
      </c>
      <c r="F474" s="5">
        <v>45396</v>
      </c>
      <c r="G474" s="3" t="s">
        <v>1293</v>
      </c>
      <c r="H474" s="3" t="s">
        <v>24</v>
      </c>
      <c r="I474" s="2">
        <v>105.64</v>
      </c>
      <c r="J474" s="3" t="s">
        <v>30</v>
      </c>
      <c r="K474">
        <f t="shared" si="14"/>
        <v>2025</v>
      </c>
      <c r="L474" t="str">
        <f t="shared" si="15"/>
        <v>71-80</v>
      </c>
      <c r="M474">
        <f>Table2[[#This Row],[appointment_date]]-Table2[[#This Row],[booking_date]]</f>
        <v>471</v>
      </c>
    </row>
    <row r="475" spans="1:13" x14ac:dyDescent="0.25">
      <c r="A475" s="4">
        <v>1067</v>
      </c>
      <c r="B475" s="3" t="s">
        <v>1294</v>
      </c>
      <c r="C475" s="4">
        <v>72</v>
      </c>
      <c r="D475" s="3" t="s">
        <v>37</v>
      </c>
      <c r="E475" s="5">
        <v>46101</v>
      </c>
      <c r="F475" s="5">
        <v>45486</v>
      </c>
      <c r="G475" s="3" t="s">
        <v>1295</v>
      </c>
      <c r="H475" s="3" t="s">
        <v>18</v>
      </c>
      <c r="I475" s="2">
        <v>489.64</v>
      </c>
      <c r="J475" s="3" t="s">
        <v>30</v>
      </c>
      <c r="K475">
        <f t="shared" si="14"/>
        <v>2026</v>
      </c>
      <c r="L475" t="str">
        <f t="shared" si="15"/>
        <v>71-80</v>
      </c>
      <c r="M475">
        <f>Table2[[#This Row],[appointment_date]]-Table2[[#This Row],[booking_date]]</f>
        <v>615</v>
      </c>
    </row>
    <row r="476" spans="1:13" x14ac:dyDescent="0.25">
      <c r="A476" s="4">
        <v>1090</v>
      </c>
      <c r="B476" s="3" t="s">
        <v>1297</v>
      </c>
      <c r="C476" s="4">
        <v>37</v>
      </c>
      <c r="D476" s="3" t="s">
        <v>68</v>
      </c>
      <c r="E476" s="5">
        <v>46081</v>
      </c>
      <c r="F476" s="5">
        <v>45400</v>
      </c>
      <c r="G476" s="3" t="s">
        <v>1298</v>
      </c>
      <c r="H476" s="3" t="s">
        <v>28</v>
      </c>
      <c r="I476" s="2">
        <v>0.85</v>
      </c>
      <c r="J476" s="3" t="s">
        <v>30</v>
      </c>
      <c r="K476">
        <f t="shared" si="14"/>
        <v>2026</v>
      </c>
      <c r="L476" t="str">
        <f t="shared" si="15"/>
        <v>31-40</v>
      </c>
      <c r="M476">
        <f>Table2[[#This Row],[appointment_date]]-Table2[[#This Row],[booking_date]]</f>
        <v>681</v>
      </c>
    </row>
    <row r="477" spans="1:13" x14ac:dyDescent="0.25">
      <c r="A477" s="4">
        <v>1027</v>
      </c>
      <c r="B477" s="3" t="s">
        <v>1300</v>
      </c>
      <c r="C477" s="4">
        <v>81</v>
      </c>
      <c r="D477" s="3" t="s">
        <v>37</v>
      </c>
      <c r="E477" s="5">
        <v>46021</v>
      </c>
      <c r="F477" s="5">
        <v>45666</v>
      </c>
      <c r="G477" s="3" t="s">
        <v>1301</v>
      </c>
      <c r="H477" s="3" t="s">
        <v>28</v>
      </c>
      <c r="I477" s="2">
        <v>132.97</v>
      </c>
      <c r="J477" s="3" t="s">
        <v>30</v>
      </c>
      <c r="K477">
        <f t="shared" si="14"/>
        <v>2025</v>
      </c>
      <c r="L477" t="str">
        <f t="shared" si="15"/>
        <v>81-90</v>
      </c>
      <c r="M477">
        <f>Table2[[#This Row],[appointment_date]]-Table2[[#This Row],[booking_date]]</f>
        <v>355</v>
      </c>
    </row>
    <row r="478" spans="1:13" x14ac:dyDescent="0.25">
      <c r="A478" s="4">
        <v>1073</v>
      </c>
      <c r="B478" s="3" t="s">
        <v>1303</v>
      </c>
      <c r="C478" s="4">
        <v>52</v>
      </c>
      <c r="D478" s="3" t="s">
        <v>68</v>
      </c>
      <c r="E478" s="5">
        <v>46098</v>
      </c>
      <c r="F478" s="5">
        <v>45950</v>
      </c>
      <c r="G478" s="3" t="s">
        <v>1304</v>
      </c>
      <c r="H478" s="3" t="s">
        <v>24</v>
      </c>
      <c r="I478" s="2">
        <v>174.37</v>
      </c>
      <c r="J478" s="3" t="s">
        <v>35</v>
      </c>
      <c r="K478">
        <f t="shared" si="14"/>
        <v>2026</v>
      </c>
      <c r="L478" t="str">
        <f t="shared" si="15"/>
        <v>51-60</v>
      </c>
      <c r="M478">
        <f>Table2[[#This Row],[appointment_date]]-Table2[[#This Row],[booking_date]]</f>
        <v>148</v>
      </c>
    </row>
    <row r="479" spans="1:13" x14ac:dyDescent="0.25">
      <c r="A479" s="4">
        <v>1092</v>
      </c>
      <c r="B479" s="3" t="s">
        <v>1306</v>
      </c>
      <c r="C479" s="4">
        <v>79</v>
      </c>
      <c r="D479" s="3" t="s">
        <v>68</v>
      </c>
      <c r="E479" s="5">
        <v>45909</v>
      </c>
      <c r="F479" s="5">
        <v>45690</v>
      </c>
      <c r="G479" s="3" t="s">
        <v>1307</v>
      </c>
      <c r="H479" s="3" t="s">
        <v>24</v>
      </c>
      <c r="I479" s="2">
        <v>487.57</v>
      </c>
      <c r="J479" s="3" t="s">
        <v>30</v>
      </c>
      <c r="K479">
        <f t="shared" si="14"/>
        <v>2025</v>
      </c>
      <c r="L479" t="str">
        <f t="shared" si="15"/>
        <v>71-80</v>
      </c>
      <c r="M479">
        <f>Table2[[#This Row],[appointment_date]]-Table2[[#This Row],[booking_date]]</f>
        <v>219</v>
      </c>
    </row>
    <row r="480" spans="1:13" x14ac:dyDescent="0.25">
      <c r="A480" s="4">
        <v>1083</v>
      </c>
      <c r="B480" s="3" t="s">
        <v>1308</v>
      </c>
      <c r="C480" s="4">
        <v>56</v>
      </c>
      <c r="D480" s="3" t="s">
        <v>37</v>
      </c>
      <c r="E480" s="5">
        <v>45979</v>
      </c>
      <c r="F480" s="5">
        <v>45695</v>
      </c>
      <c r="G480" s="3" t="s">
        <v>1309</v>
      </c>
      <c r="H480" s="3" t="s">
        <v>13</v>
      </c>
      <c r="I480" s="2">
        <v>4.54</v>
      </c>
      <c r="J480" s="3" t="s">
        <v>30</v>
      </c>
      <c r="K480">
        <f t="shared" si="14"/>
        <v>2025</v>
      </c>
      <c r="L480" t="str">
        <f t="shared" si="15"/>
        <v>51-60</v>
      </c>
      <c r="M480">
        <f>Table2[[#This Row],[appointment_date]]-Table2[[#This Row],[booking_date]]</f>
        <v>284</v>
      </c>
    </row>
    <row r="481" spans="1:13" x14ac:dyDescent="0.25">
      <c r="A481" s="4">
        <v>1091</v>
      </c>
      <c r="B481" s="3" t="s">
        <v>1311</v>
      </c>
      <c r="C481" s="4">
        <v>74</v>
      </c>
      <c r="D481" s="3" t="s">
        <v>68</v>
      </c>
      <c r="E481" s="5">
        <v>46002</v>
      </c>
      <c r="F481" s="5">
        <v>45770</v>
      </c>
      <c r="G481" s="3" t="s">
        <v>1312</v>
      </c>
      <c r="H481" s="3" t="s">
        <v>13</v>
      </c>
      <c r="I481" s="2">
        <v>395.68</v>
      </c>
      <c r="J481" s="3" t="s">
        <v>35</v>
      </c>
      <c r="K481">
        <f t="shared" si="14"/>
        <v>2025</v>
      </c>
      <c r="L481" t="str">
        <f t="shared" si="15"/>
        <v>71-80</v>
      </c>
      <c r="M481">
        <f>Table2[[#This Row],[appointment_date]]-Table2[[#This Row],[booking_date]]</f>
        <v>232</v>
      </c>
    </row>
    <row r="482" spans="1:13" x14ac:dyDescent="0.25">
      <c r="A482" s="4">
        <v>1057</v>
      </c>
      <c r="B482" s="3" t="s">
        <v>1314</v>
      </c>
      <c r="C482" s="4">
        <v>60</v>
      </c>
      <c r="D482" s="3" t="s">
        <v>37</v>
      </c>
      <c r="E482" s="5">
        <v>46048</v>
      </c>
      <c r="F482" s="5">
        <v>45565</v>
      </c>
      <c r="G482" s="3" t="s">
        <v>1315</v>
      </c>
      <c r="H482" s="3" t="s">
        <v>28</v>
      </c>
      <c r="I482" s="2">
        <v>539.16999999999996</v>
      </c>
      <c r="J482" s="3" t="s">
        <v>35</v>
      </c>
      <c r="K482">
        <f t="shared" si="14"/>
        <v>2026</v>
      </c>
      <c r="L482" t="str">
        <f t="shared" si="15"/>
        <v>51-60</v>
      </c>
      <c r="M482">
        <f>Table2[[#This Row],[appointment_date]]-Table2[[#This Row],[booking_date]]</f>
        <v>483</v>
      </c>
    </row>
    <row r="483" spans="1:13" x14ac:dyDescent="0.25">
      <c r="A483" s="4">
        <v>1018</v>
      </c>
      <c r="B483" s="3" t="s">
        <v>1317</v>
      </c>
      <c r="C483" s="4">
        <v>54</v>
      </c>
      <c r="D483" s="3" t="s">
        <v>68</v>
      </c>
      <c r="E483" s="5">
        <v>45951</v>
      </c>
      <c r="F483" s="5">
        <v>45758</v>
      </c>
      <c r="G483" s="3" t="s">
        <v>1318</v>
      </c>
      <c r="H483" s="3" t="s">
        <v>28</v>
      </c>
      <c r="I483" s="2">
        <v>252.53</v>
      </c>
      <c r="J483" s="3" t="s">
        <v>35</v>
      </c>
      <c r="K483">
        <f t="shared" si="14"/>
        <v>2025</v>
      </c>
      <c r="L483" t="str">
        <f t="shared" si="15"/>
        <v>51-60</v>
      </c>
      <c r="M483">
        <f>Table2[[#This Row],[appointment_date]]-Table2[[#This Row],[booking_date]]</f>
        <v>193</v>
      </c>
    </row>
    <row r="484" spans="1:13" x14ac:dyDescent="0.25">
      <c r="A484" s="4">
        <v>1002</v>
      </c>
      <c r="B484" s="3" t="s">
        <v>1319</v>
      </c>
      <c r="C484" s="4">
        <v>89</v>
      </c>
      <c r="D484" s="3" t="s">
        <v>37</v>
      </c>
      <c r="E484" s="5">
        <v>45847</v>
      </c>
      <c r="F484" s="5">
        <v>45660</v>
      </c>
      <c r="G484" s="3" t="s">
        <v>1320</v>
      </c>
      <c r="H484" s="3" t="s">
        <v>24</v>
      </c>
      <c r="I484" s="2">
        <v>187.94</v>
      </c>
      <c r="J484" s="3" t="s">
        <v>35</v>
      </c>
      <c r="K484">
        <f t="shared" si="14"/>
        <v>2025</v>
      </c>
      <c r="L484" t="str">
        <f t="shared" si="15"/>
        <v>81-90</v>
      </c>
      <c r="M484">
        <f>Table2[[#This Row],[appointment_date]]-Table2[[#This Row],[booking_date]]</f>
        <v>187</v>
      </c>
    </row>
    <row r="485" spans="1:13" x14ac:dyDescent="0.25">
      <c r="A485" s="4">
        <v>1084</v>
      </c>
      <c r="B485" s="3" t="s">
        <v>1322</v>
      </c>
      <c r="C485" s="4">
        <v>84</v>
      </c>
      <c r="D485" s="3" t="s">
        <v>37</v>
      </c>
      <c r="E485" s="5">
        <v>45801</v>
      </c>
      <c r="F485" s="5">
        <v>45422</v>
      </c>
      <c r="G485" s="3" t="s">
        <v>1323</v>
      </c>
      <c r="H485" s="3" t="s">
        <v>28</v>
      </c>
      <c r="I485" s="2">
        <v>3.83</v>
      </c>
      <c r="J485" s="3" t="s">
        <v>35</v>
      </c>
      <c r="K485">
        <f t="shared" si="14"/>
        <v>2025</v>
      </c>
      <c r="L485" t="str">
        <f t="shared" si="15"/>
        <v>81-90</v>
      </c>
      <c r="M485">
        <f>Table2[[#This Row],[appointment_date]]-Table2[[#This Row],[booking_date]]</f>
        <v>379</v>
      </c>
    </row>
    <row r="486" spans="1:13" x14ac:dyDescent="0.25">
      <c r="A486" s="4">
        <v>1005</v>
      </c>
      <c r="B486" s="3" t="s">
        <v>1325</v>
      </c>
      <c r="C486" s="4">
        <v>80</v>
      </c>
      <c r="D486" s="3" t="s">
        <v>37</v>
      </c>
      <c r="E486" s="5">
        <v>45793</v>
      </c>
      <c r="F486" s="5">
        <v>45609</v>
      </c>
      <c r="G486" s="3" t="s">
        <v>1326</v>
      </c>
      <c r="H486" s="3" t="s">
        <v>24</v>
      </c>
      <c r="I486" s="2">
        <v>405.68</v>
      </c>
      <c r="J486" s="3" t="s">
        <v>35</v>
      </c>
      <c r="K486">
        <f t="shared" si="14"/>
        <v>2025</v>
      </c>
      <c r="L486" t="str">
        <f t="shared" si="15"/>
        <v>71-80</v>
      </c>
      <c r="M486">
        <f>Table2[[#This Row],[appointment_date]]-Table2[[#This Row],[booking_date]]</f>
        <v>184</v>
      </c>
    </row>
    <row r="487" spans="1:13" x14ac:dyDescent="0.25">
      <c r="A487" s="4">
        <v>1094</v>
      </c>
      <c r="B487" s="3" t="s">
        <v>1328</v>
      </c>
      <c r="C487" s="4">
        <v>59</v>
      </c>
      <c r="D487" s="3" t="s">
        <v>37</v>
      </c>
      <c r="E487" s="5">
        <v>46079</v>
      </c>
      <c r="F487" s="5">
        <v>45529</v>
      </c>
      <c r="G487" s="3" t="s">
        <v>1329</v>
      </c>
      <c r="H487" s="3" t="s">
        <v>24</v>
      </c>
      <c r="I487" s="2">
        <v>93.64</v>
      </c>
      <c r="J487" s="3" t="s">
        <v>30</v>
      </c>
      <c r="K487">
        <f t="shared" si="14"/>
        <v>2026</v>
      </c>
      <c r="L487" t="str">
        <f t="shared" si="15"/>
        <v>51-60</v>
      </c>
      <c r="M487">
        <f>Table2[[#This Row],[appointment_date]]-Table2[[#This Row],[booking_date]]</f>
        <v>550</v>
      </c>
    </row>
    <row r="488" spans="1:13" x14ac:dyDescent="0.25">
      <c r="A488" s="4">
        <v>1084</v>
      </c>
      <c r="B488" s="3" t="s">
        <v>1331</v>
      </c>
      <c r="C488" s="4">
        <v>55</v>
      </c>
      <c r="D488" s="3" t="s">
        <v>37</v>
      </c>
      <c r="E488" s="5">
        <v>45776</v>
      </c>
      <c r="F488" s="5">
        <v>45632</v>
      </c>
      <c r="G488" s="3" t="s">
        <v>1332</v>
      </c>
      <c r="H488" s="3" t="s">
        <v>24</v>
      </c>
      <c r="I488" s="2">
        <v>479.32</v>
      </c>
      <c r="J488" s="3" t="s">
        <v>30</v>
      </c>
      <c r="K488">
        <f t="shared" si="14"/>
        <v>2025</v>
      </c>
      <c r="L488" t="str">
        <f t="shared" si="15"/>
        <v>51-60</v>
      </c>
      <c r="M488">
        <f>Table2[[#This Row],[appointment_date]]-Table2[[#This Row],[booking_date]]</f>
        <v>144</v>
      </c>
    </row>
    <row r="489" spans="1:13" x14ac:dyDescent="0.25">
      <c r="A489" s="4">
        <v>1044</v>
      </c>
      <c r="B489" s="3" t="s">
        <v>1334</v>
      </c>
      <c r="C489" s="4">
        <v>68</v>
      </c>
      <c r="D489" s="3" t="s">
        <v>68</v>
      </c>
      <c r="E489" s="5">
        <v>45888</v>
      </c>
      <c r="F489" s="5">
        <v>45688</v>
      </c>
      <c r="G489" s="3" t="s">
        <v>1335</v>
      </c>
      <c r="H489" s="3" t="s">
        <v>18</v>
      </c>
      <c r="I489" s="2">
        <v>450.69</v>
      </c>
      <c r="J489" s="3" t="s">
        <v>35</v>
      </c>
      <c r="K489">
        <f t="shared" si="14"/>
        <v>2025</v>
      </c>
      <c r="L489" t="str">
        <f t="shared" si="15"/>
        <v>61-70</v>
      </c>
      <c r="M489">
        <f>Table2[[#This Row],[appointment_date]]-Table2[[#This Row],[booking_date]]</f>
        <v>200</v>
      </c>
    </row>
    <row r="490" spans="1:13" x14ac:dyDescent="0.25">
      <c r="A490" s="4">
        <v>1067</v>
      </c>
      <c r="B490" s="3" t="s">
        <v>1337</v>
      </c>
      <c r="C490" s="4">
        <v>60</v>
      </c>
      <c r="D490" s="3" t="s">
        <v>68</v>
      </c>
      <c r="E490" s="5">
        <v>45969</v>
      </c>
      <c r="F490" s="5">
        <v>45746</v>
      </c>
      <c r="G490" s="3" t="s">
        <v>1338</v>
      </c>
      <c r="H490" s="3" t="s">
        <v>13</v>
      </c>
      <c r="I490" s="2">
        <v>311.57</v>
      </c>
      <c r="J490" s="3" t="s">
        <v>30</v>
      </c>
      <c r="K490">
        <f t="shared" si="14"/>
        <v>2025</v>
      </c>
      <c r="L490" t="str">
        <f t="shared" si="15"/>
        <v>51-60</v>
      </c>
      <c r="M490">
        <f>Table2[[#This Row],[appointment_date]]-Table2[[#This Row],[booking_date]]</f>
        <v>223</v>
      </c>
    </row>
    <row r="491" spans="1:13" x14ac:dyDescent="0.25">
      <c r="A491" s="4">
        <v>1083</v>
      </c>
      <c r="B491" s="3" t="s">
        <v>1340</v>
      </c>
      <c r="C491" s="4">
        <v>59</v>
      </c>
      <c r="D491" s="3" t="s">
        <v>68</v>
      </c>
      <c r="E491" s="5">
        <v>45918</v>
      </c>
      <c r="F491" s="5">
        <v>45458</v>
      </c>
      <c r="G491" s="3" t="s">
        <v>1341</v>
      </c>
      <c r="H491" s="3" t="s">
        <v>24</v>
      </c>
      <c r="I491" s="2">
        <v>2.41</v>
      </c>
      <c r="J491" s="3" t="s">
        <v>35</v>
      </c>
      <c r="K491">
        <f t="shared" si="14"/>
        <v>2025</v>
      </c>
      <c r="L491" t="str">
        <f t="shared" si="15"/>
        <v>51-60</v>
      </c>
      <c r="M491">
        <f>Table2[[#This Row],[appointment_date]]-Table2[[#This Row],[booking_date]]</f>
        <v>460</v>
      </c>
    </row>
    <row r="492" spans="1:13" x14ac:dyDescent="0.25">
      <c r="A492" s="4">
        <v>1017</v>
      </c>
      <c r="B492" s="3" t="s">
        <v>1343</v>
      </c>
      <c r="C492" s="4">
        <v>84</v>
      </c>
      <c r="D492" s="3" t="s">
        <v>37</v>
      </c>
      <c r="E492" s="5">
        <v>46058</v>
      </c>
      <c r="F492" s="5">
        <v>45440</v>
      </c>
      <c r="G492" s="3" t="s">
        <v>1344</v>
      </c>
      <c r="H492" s="3" t="s">
        <v>18</v>
      </c>
      <c r="I492" s="2">
        <v>214.13</v>
      </c>
      <c r="J492" s="3" t="s">
        <v>30</v>
      </c>
      <c r="K492">
        <f t="shared" si="14"/>
        <v>2026</v>
      </c>
      <c r="L492" t="str">
        <f t="shared" si="15"/>
        <v>81-90</v>
      </c>
      <c r="M492">
        <f>Table2[[#This Row],[appointment_date]]-Table2[[#This Row],[booking_date]]</f>
        <v>618</v>
      </c>
    </row>
    <row r="493" spans="1:13" x14ac:dyDescent="0.25">
      <c r="A493" s="4">
        <v>1080</v>
      </c>
      <c r="B493" s="3" t="s">
        <v>1346</v>
      </c>
      <c r="C493" s="4">
        <v>38</v>
      </c>
      <c r="D493" s="3" t="s">
        <v>68</v>
      </c>
      <c r="E493" s="5">
        <v>45808</v>
      </c>
      <c r="F493" s="5">
        <v>45438</v>
      </c>
      <c r="G493" s="3" t="s">
        <v>1347</v>
      </c>
      <c r="H493" s="3" t="s">
        <v>18</v>
      </c>
      <c r="I493" s="2">
        <v>3.5</v>
      </c>
      <c r="J493" s="3" t="s">
        <v>35</v>
      </c>
      <c r="K493">
        <f t="shared" si="14"/>
        <v>2025</v>
      </c>
      <c r="L493" t="str">
        <f t="shared" si="15"/>
        <v>31-40</v>
      </c>
      <c r="M493">
        <f>Table2[[#This Row],[appointment_date]]-Table2[[#This Row],[booking_date]]</f>
        <v>370</v>
      </c>
    </row>
    <row r="494" spans="1:13" x14ac:dyDescent="0.25">
      <c r="A494" s="4">
        <v>1089</v>
      </c>
      <c r="B494" s="3" t="s">
        <v>1349</v>
      </c>
      <c r="C494" s="4">
        <v>23</v>
      </c>
      <c r="D494" s="3" t="s">
        <v>37</v>
      </c>
      <c r="E494" s="5">
        <v>45879</v>
      </c>
      <c r="F494" s="5">
        <v>45769</v>
      </c>
      <c r="G494" s="3" t="s">
        <v>1350</v>
      </c>
      <c r="H494" s="3" t="s">
        <v>28</v>
      </c>
      <c r="I494" s="2">
        <v>350</v>
      </c>
      <c r="J494" s="3" t="s">
        <v>30</v>
      </c>
      <c r="K494">
        <f t="shared" si="14"/>
        <v>2025</v>
      </c>
      <c r="L494" t="str">
        <f t="shared" si="15"/>
        <v>18-30</v>
      </c>
      <c r="M494">
        <f>Table2[[#This Row],[appointment_date]]-Table2[[#This Row],[booking_date]]</f>
        <v>110</v>
      </c>
    </row>
    <row r="495" spans="1:13" x14ac:dyDescent="0.25">
      <c r="A495" s="4">
        <v>1070</v>
      </c>
      <c r="B495" s="3" t="s">
        <v>1351</v>
      </c>
      <c r="C495" s="4">
        <v>62</v>
      </c>
      <c r="D495" s="3" t="s">
        <v>37</v>
      </c>
      <c r="E495" s="5">
        <v>45909</v>
      </c>
      <c r="F495" s="5">
        <v>45621</v>
      </c>
      <c r="G495" s="3" t="s">
        <v>1352</v>
      </c>
      <c r="H495" s="3" t="s">
        <v>13</v>
      </c>
      <c r="I495" s="2">
        <v>1.96</v>
      </c>
      <c r="J495" s="3" t="s">
        <v>35</v>
      </c>
      <c r="K495">
        <f t="shared" si="14"/>
        <v>2025</v>
      </c>
      <c r="L495" t="str">
        <f t="shared" si="15"/>
        <v>61-70</v>
      </c>
      <c r="M495">
        <f>Table2[[#This Row],[appointment_date]]-Table2[[#This Row],[booking_date]]</f>
        <v>288</v>
      </c>
    </row>
    <row r="496" spans="1:13" x14ac:dyDescent="0.25">
      <c r="A496" s="4">
        <v>1093</v>
      </c>
      <c r="B496" s="3" t="s">
        <v>1354</v>
      </c>
      <c r="C496" s="4">
        <v>34</v>
      </c>
      <c r="D496" s="3" t="s">
        <v>37</v>
      </c>
      <c r="E496" s="5">
        <v>46085</v>
      </c>
      <c r="F496" s="5">
        <v>45546</v>
      </c>
      <c r="G496" s="3" t="s">
        <v>1355</v>
      </c>
      <c r="H496" s="3" t="s">
        <v>18</v>
      </c>
      <c r="I496" s="2">
        <v>248.31</v>
      </c>
      <c r="J496" s="3" t="s">
        <v>35</v>
      </c>
      <c r="K496">
        <f t="shared" si="14"/>
        <v>2026</v>
      </c>
      <c r="L496" t="str">
        <f t="shared" si="15"/>
        <v>31-40</v>
      </c>
      <c r="M496">
        <f>Table2[[#This Row],[appointment_date]]-Table2[[#This Row],[booking_date]]</f>
        <v>539</v>
      </c>
    </row>
    <row r="497" spans="1:13" x14ac:dyDescent="0.25">
      <c r="A497" s="4">
        <v>1088</v>
      </c>
      <c r="B497" s="3" t="s">
        <v>1356</v>
      </c>
      <c r="C497" s="4">
        <v>35</v>
      </c>
      <c r="D497" s="3" t="s">
        <v>68</v>
      </c>
      <c r="E497" s="5">
        <v>45957</v>
      </c>
      <c r="F497" s="5">
        <v>45849</v>
      </c>
      <c r="G497" s="3" t="s">
        <v>1357</v>
      </c>
      <c r="H497" s="3" t="s">
        <v>13</v>
      </c>
      <c r="I497" s="2">
        <v>3.88</v>
      </c>
      <c r="J497" s="3" t="s">
        <v>35</v>
      </c>
      <c r="K497">
        <f t="shared" si="14"/>
        <v>2025</v>
      </c>
      <c r="L497" t="str">
        <f t="shared" si="15"/>
        <v>31-40</v>
      </c>
      <c r="M497">
        <f>Table2[[#This Row],[appointment_date]]-Table2[[#This Row],[booking_date]]</f>
        <v>108</v>
      </c>
    </row>
    <row r="498" spans="1:13" x14ac:dyDescent="0.25">
      <c r="A498" s="4">
        <v>1086</v>
      </c>
      <c r="B498" s="3" t="s">
        <v>1359</v>
      </c>
      <c r="C498" s="4">
        <v>36</v>
      </c>
      <c r="D498" s="3" t="s">
        <v>68</v>
      </c>
      <c r="E498" s="5">
        <v>46098</v>
      </c>
      <c r="F498" s="5">
        <v>45529</v>
      </c>
      <c r="G498" s="3" t="s">
        <v>1360</v>
      </c>
      <c r="H498" s="3" t="s">
        <v>18</v>
      </c>
      <c r="I498" s="2">
        <v>232.99</v>
      </c>
      <c r="J498" s="3" t="s">
        <v>30</v>
      </c>
      <c r="K498">
        <f t="shared" si="14"/>
        <v>2026</v>
      </c>
      <c r="L498" t="str">
        <f t="shared" si="15"/>
        <v>31-40</v>
      </c>
      <c r="M498">
        <f>Table2[[#This Row],[appointment_date]]-Table2[[#This Row],[booking_date]]</f>
        <v>569</v>
      </c>
    </row>
    <row r="499" spans="1:13" x14ac:dyDescent="0.25">
      <c r="A499" s="4">
        <v>1033</v>
      </c>
      <c r="B499" s="3" t="s">
        <v>1362</v>
      </c>
      <c r="C499" s="4">
        <v>47</v>
      </c>
      <c r="D499" s="3" t="s">
        <v>37</v>
      </c>
      <c r="E499" s="5">
        <v>45994</v>
      </c>
      <c r="F499" s="5">
        <v>45893</v>
      </c>
      <c r="G499" s="3" t="s">
        <v>1363</v>
      </c>
      <c r="H499" s="3" t="s">
        <v>13</v>
      </c>
      <c r="I499" s="2">
        <v>155.28</v>
      </c>
      <c r="J499" s="3" t="s">
        <v>30</v>
      </c>
      <c r="K499">
        <f t="shared" si="14"/>
        <v>2025</v>
      </c>
      <c r="L499" t="str">
        <f t="shared" si="15"/>
        <v>41-50</v>
      </c>
      <c r="M499">
        <f>Table2[[#This Row],[appointment_date]]-Table2[[#This Row],[booking_date]]</f>
        <v>101</v>
      </c>
    </row>
    <row r="500" spans="1:13" x14ac:dyDescent="0.25">
      <c r="A500" s="4">
        <v>1023</v>
      </c>
      <c r="B500" s="3" t="s">
        <v>1365</v>
      </c>
      <c r="C500" s="4">
        <v>36</v>
      </c>
      <c r="D500" s="3" t="s">
        <v>68</v>
      </c>
      <c r="E500" s="5">
        <v>45943</v>
      </c>
      <c r="F500" s="5">
        <v>45665</v>
      </c>
      <c r="G500" s="3" t="s">
        <v>1366</v>
      </c>
      <c r="H500" s="3" t="s">
        <v>13</v>
      </c>
      <c r="I500" s="2">
        <v>102.24</v>
      </c>
      <c r="J500" s="3" t="s">
        <v>30</v>
      </c>
      <c r="K500">
        <f t="shared" si="14"/>
        <v>2025</v>
      </c>
      <c r="L500" t="str">
        <f t="shared" si="15"/>
        <v>31-40</v>
      </c>
      <c r="M500">
        <f>Table2[[#This Row],[appointment_date]]-Table2[[#This Row],[booking_date]]</f>
        <v>278</v>
      </c>
    </row>
    <row r="501" spans="1:13" x14ac:dyDescent="0.25">
      <c r="A501" s="4">
        <v>1053</v>
      </c>
      <c r="B501" s="3" t="s">
        <v>1368</v>
      </c>
      <c r="C501" s="4">
        <v>57</v>
      </c>
      <c r="D501" s="3" t="s">
        <v>37</v>
      </c>
      <c r="E501" s="5">
        <v>45836</v>
      </c>
      <c r="F501" s="5">
        <v>45598</v>
      </c>
      <c r="G501" s="3" t="s">
        <v>1369</v>
      </c>
      <c r="H501" s="3" t="s">
        <v>13</v>
      </c>
      <c r="I501" s="2">
        <v>222.44</v>
      </c>
      <c r="J501" s="3" t="s">
        <v>35</v>
      </c>
      <c r="K501">
        <f t="shared" si="14"/>
        <v>2025</v>
      </c>
      <c r="L501" t="str">
        <f t="shared" si="15"/>
        <v>51-60</v>
      </c>
      <c r="M501">
        <f>Table2[[#This Row],[appointment_date]]-Table2[[#This Row],[booking_date]]</f>
        <v>238</v>
      </c>
    </row>
    <row r="502" spans="1:13" x14ac:dyDescent="0.25">
      <c r="A502" s="4">
        <v>1040</v>
      </c>
      <c r="B502" s="3" t="s">
        <v>1371</v>
      </c>
      <c r="C502" s="4">
        <v>20</v>
      </c>
      <c r="D502" s="3" t="s">
        <v>37</v>
      </c>
      <c r="E502" s="5">
        <v>45983</v>
      </c>
      <c r="F502" s="5">
        <v>45753</v>
      </c>
      <c r="G502" s="3" t="s">
        <v>1372</v>
      </c>
      <c r="H502" s="3" t="s">
        <v>13</v>
      </c>
      <c r="I502" s="2">
        <v>288.02999999999997</v>
      </c>
      <c r="J502" s="3" t="s">
        <v>30</v>
      </c>
      <c r="K502">
        <f t="shared" si="14"/>
        <v>2025</v>
      </c>
      <c r="L502" t="str">
        <f t="shared" si="15"/>
        <v>18-30</v>
      </c>
      <c r="M502">
        <f>Table2[[#This Row],[appointment_date]]-Table2[[#This Row],[booking_date]]</f>
        <v>230</v>
      </c>
    </row>
    <row r="503" spans="1:13" x14ac:dyDescent="0.25">
      <c r="A503" s="4">
        <v>1073</v>
      </c>
      <c r="B503" s="3" t="s">
        <v>1374</v>
      </c>
      <c r="C503" s="4">
        <v>50</v>
      </c>
      <c r="D503" s="3" t="s">
        <v>37</v>
      </c>
      <c r="E503" s="5">
        <v>45911</v>
      </c>
      <c r="F503" s="5">
        <v>45730</v>
      </c>
      <c r="G503" s="3" t="s">
        <v>1375</v>
      </c>
      <c r="H503" s="3" t="s">
        <v>24</v>
      </c>
      <c r="I503" s="2">
        <v>343.79</v>
      </c>
      <c r="J503" s="3" t="s">
        <v>35</v>
      </c>
      <c r="K503">
        <f t="shared" si="14"/>
        <v>2025</v>
      </c>
      <c r="L503" t="str">
        <f t="shared" si="15"/>
        <v>41-50</v>
      </c>
      <c r="M503">
        <f>Table2[[#This Row],[appointment_date]]-Table2[[#This Row],[booking_date]]</f>
        <v>181</v>
      </c>
    </row>
    <row r="504" spans="1:13" x14ac:dyDescent="0.25">
      <c r="A504" s="4">
        <v>1031</v>
      </c>
      <c r="B504" s="3" t="s">
        <v>1376</v>
      </c>
      <c r="C504" s="4">
        <v>50</v>
      </c>
      <c r="D504" s="3" t="s">
        <v>37</v>
      </c>
      <c r="E504" s="5">
        <v>45980</v>
      </c>
      <c r="F504" s="5">
        <v>45672</v>
      </c>
      <c r="G504" s="3" t="s">
        <v>1377</v>
      </c>
      <c r="H504" s="3" t="s">
        <v>18</v>
      </c>
      <c r="I504" s="2">
        <v>431.21</v>
      </c>
      <c r="J504" s="3" t="s">
        <v>35</v>
      </c>
      <c r="K504">
        <f t="shared" si="14"/>
        <v>2025</v>
      </c>
      <c r="L504" t="str">
        <f t="shared" si="15"/>
        <v>41-50</v>
      </c>
      <c r="M504">
        <f>Table2[[#This Row],[appointment_date]]-Table2[[#This Row],[booking_date]]</f>
        <v>308</v>
      </c>
    </row>
    <row r="505" spans="1:13" x14ac:dyDescent="0.25">
      <c r="A505" s="4">
        <v>1093</v>
      </c>
      <c r="B505" s="3" t="s">
        <v>1378</v>
      </c>
      <c r="C505" s="4">
        <v>66</v>
      </c>
      <c r="D505" s="3" t="s">
        <v>37</v>
      </c>
      <c r="E505" s="5">
        <v>46055</v>
      </c>
      <c r="F505" s="5">
        <v>45702</v>
      </c>
      <c r="G505" s="3" t="s">
        <v>1379</v>
      </c>
      <c r="H505" s="3" t="s">
        <v>24</v>
      </c>
      <c r="I505" s="2">
        <v>321.74</v>
      </c>
      <c r="J505" s="3" t="s">
        <v>35</v>
      </c>
      <c r="K505">
        <f t="shared" si="14"/>
        <v>2026</v>
      </c>
      <c r="L505" t="str">
        <f t="shared" si="15"/>
        <v>61-70</v>
      </c>
      <c r="M505">
        <f>Table2[[#This Row],[appointment_date]]-Table2[[#This Row],[booking_date]]</f>
        <v>353</v>
      </c>
    </row>
    <row r="506" spans="1:13" x14ac:dyDescent="0.25">
      <c r="A506" s="4">
        <v>1029</v>
      </c>
      <c r="B506" s="3" t="s">
        <v>1381</v>
      </c>
      <c r="C506" s="4">
        <v>24</v>
      </c>
      <c r="D506" s="3" t="s">
        <v>68</v>
      </c>
      <c r="E506" s="5">
        <v>45865</v>
      </c>
      <c r="F506" s="5">
        <v>45857</v>
      </c>
      <c r="G506" s="3" t="s">
        <v>1382</v>
      </c>
      <c r="H506" s="3" t="s">
        <v>18</v>
      </c>
      <c r="I506" s="2">
        <v>106.68</v>
      </c>
      <c r="J506" s="3" t="s">
        <v>35</v>
      </c>
      <c r="K506">
        <f t="shared" si="14"/>
        <v>2025</v>
      </c>
      <c r="L506" t="str">
        <f t="shared" si="15"/>
        <v>18-30</v>
      </c>
      <c r="M506">
        <f>Table2[[#This Row],[appointment_date]]-Table2[[#This Row],[booking_date]]</f>
        <v>8</v>
      </c>
    </row>
    <row r="507" spans="1:13" x14ac:dyDescent="0.25">
      <c r="A507" s="4">
        <v>1082</v>
      </c>
      <c r="B507" s="3" t="s">
        <v>1384</v>
      </c>
      <c r="C507" s="4">
        <v>72</v>
      </c>
      <c r="D507" s="3" t="s">
        <v>68</v>
      </c>
      <c r="E507" s="5">
        <v>46002</v>
      </c>
      <c r="F507" s="5">
        <v>45681</v>
      </c>
      <c r="G507" s="3" t="s">
        <v>1385</v>
      </c>
      <c r="H507" s="3" t="s">
        <v>13</v>
      </c>
      <c r="I507" s="2">
        <v>222.2</v>
      </c>
      <c r="J507" s="3" t="s">
        <v>30</v>
      </c>
      <c r="K507">
        <f t="shared" si="14"/>
        <v>2025</v>
      </c>
      <c r="L507" t="str">
        <f t="shared" si="15"/>
        <v>71-80</v>
      </c>
      <c r="M507">
        <f>Table2[[#This Row],[appointment_date]]-Table2[[#This Row],[booking_date]]</f>
        <v>321</v>
      </c>
    </row>
    <row r="508" spans="1:13" x14ac:dyDescent="0.25">
      <c r="A508" s="4">
        <v>1099</v>
      </c>
      <c r="B508" s="3" t="s">
        <v>1387</v>
      </c>
      <c r="C508" s="4">
        <v>85</v>
      </c>
      <c r="D508" s="3" t="s">
        <v>68</v>
      </c>
      <c r="E508" s="5">
        <v>45950</v>
      </c>
      <c r="F508" s="5">
        <v>45879</v>
      </c>
      <c r="G508" s="3" t="s">
        <v>614</v>
      </c>
      <c r="H508" s="3" t="s">
        <v>24</v>
      </c>
      <c r="I508" s="2">
        <v>477.84</v>
      </c>
      <c r="J508" s="3" t="s">
        <v>35</v>
      </c>
      <c r="K508">
        <f t="shared" si="14"/>
        <v>2025</v>
      </c>
      <c r="L508" t="str">
        <f t="shared" si="15"/>
        <v>81-90</v>
      </c>
      <c r="M508">
        <f>Table2[[#This Row],[appointment_date]]-Table2[[#This Row],[booking_date]]</f>
        <v>71</v>
      </c>
    </row>
    <row r="509" spans="1:13" x14ac:dyDescent="0.25">
      <c r="A509" s="4">
        <v>1065</v>
      </c>
      <c r="B509" s="3" t="s">
        <v>1389</v>
      </c>
      <c r="C509" s="4">
        <v>38</v>
      </c>
      <c r="D509" s="3" t="s">
        <v>68</v>
      </c>
      <c r="E509" s="5">
        <v>45806</v>
      </c>
      <c r="F509" s="5">
        <v>45790</v>
      </c>
      <c r="G509" s="3" t="s">
        <v>1390</v>
      </c>
      <c r="H509" s="3" t="s">
        <v>13</v>
      </c>
      <c r="I509" s="2">
        <v>119.62</v>
      </c>
      <c r="J509" s="3" t="s">
        <v>30</v>
      </c>
      <c r="K509">
        <f t="shared" si="14"/>
        <v>2025</v>
      </c>
      <c r="L509" t="str">
        <f t="shared" si="15"/>
        <v>31-40</v>
      </c>
      <c r="M509">
        <f>Table2[[#This Row],[appointment_date]]-Table2[[#This Row],[booking_date]]</f>
        <v>16</v>
      </c>
    </row>
    <row r="510" spans="1:13" x14ac:dyDescent="0.25">
      <c r="A510" s="4">
        <v>1041</v>
      </c>
      <c r="B510" s="3" t="s">
        <v>1392</v>
      </c>
      <c r="C510" s="4">
        <v>67</v>
      </c>
      <c r="D510" s="3" t="s">
        <v>37</v>
      </c>
      <c r="E510" s="5">
        <v>45764</v>
      </c>
      <c r="F510" s="5">
        <v>45550</v>
      </c>
      <c r="G510" s="3" t="s">
        <v>1393</v>
      </c>
      <c r="H510" s="3" t="s">
        <v>18</v>
      </c>
      <c r="I510" s="2">
        <v>478.18</v>
      </c>
      <c r="J510" s="3" t="s">
        <v>30</v>
      </c>
      <c r="K510">
        <f t="shared" si="14"/>
        <v>2025</v>
      </c>
      <c r="L510" t="str">
        <f t="shared" si="15"/>
        <v>61-70</v>
      </c>
      <c r="M510">
        <f>Table2[[#This Row],[appointment_date]]-Table2[[#This Row],[booking_date]]</f>
        <v>214</v>
      </c>
    </row>
    <row r="511" spans="1:13" x14ac:dyDescent="0.25">
      <c r="A511" s="4">
        <v>1003</v>
      </c>
      <c r="B511" s="3" t="s">
        <v>1394</v>
      </c>
      <c r="C511" s="4">
        <v>27</v>
      </c>
      <c r="D511" s="3" t="s">
        <v>37</v>
      </c>
      <c r="E511" s="5">
        <v>45813</v>
      </c>
      <c r="F511" s="5">
        <v>45729</v>
      </c>
      <c r="G511" s="3" t="s">
        <v>1395</v>
      </c>
      <c r="H511" s="3" t="s">
        <v>18</v>
      </c>
      <c r="I511" s="2">
        <v>4.79</v>
      </c>
      <c r="J511" s="3" t="s">
        <v>35</v>
      </c>
      <c r="K511">
        <f t="shared" si="14"/>
        <v>2025</v>
      </c>
      <c r="L511" t="str">
        <f t="shared" si="15"/>
        <v>18-30</v>
      </c>
      <c r="M511">
        <f>Table2[[#This Row],[appointment_date]]-Table2[[#This Row],[booking_date]]</f>
        <v>84</v>
      </c>
    </row>
    <row r="512" spans="1:13" x14ac:dyDescent="0.25">
      <c r="A512" s="4">
        <v>1038</v>
      </c>
      <c r="B512" s="3" t="s">
        <v>1397</v>
      </c>
      <c r="C512" s="4">
        <v>45</v>
      </c>
      <c r="D512" s="3" t="s">
        <v>37</v>
      </c>
      <c r="E512" s="5">
        <v>46079</v>
      </c>
      <c r="F512" s="5">
        <v>45811</v>
      </c>
      <c r="G512" s="3" t="s">
        <v>1398</v>
      </c>
      <c r="H512" s="3" t="s">
        <v>28</v>
      </c>
      <c r="I512" s="2">
        <v>451.61</v>
      </c>
      <c r="J512" s="3" t="s">
        <v>35</v>
      </c>
      <c r="K512">
        <f t="shared" si="14"/>
        <v>2026</v>
      </c>
      <c r="L512" t="str">
        <f t="shared" si="15"/>
        <v>41-50</v>
      </c>
      <c r="M512">
        <f>Table2[[#This Row],[appointment_date]]-Table2[[#This Row],[booking_date]]</f>
        <v>268</v>
      </c>
    </row>
    <row r="513" spans="1:13" x14ac:dyDescent="0.25">
      <c r="A513" s="4">
        <v>1061</v>
      </c>
      <c r="B513" s="3" t="s">
        <v>1400</v>
      </c>
      <c r="C513" s="4">
        <v>37</v>
      </c>
      <c r="D513" s="3" t="s">
        <v>37</v>
      </c>
      <c r="E513" s="5">
        <v>45947</v>
      </c>
      <c r="F513" s="5">
        <v>45754</v>
      </c>
      <c r="G513" s="3" t="s">
        <v>1401</v>
      </c>
      <c r="H513" s="3" t="s">
        <v>18</v>
      </c>
      <c r="I513" s="2">
        <v>437.71</v>
      </c>
      <c r="J513" s="3" t="s">
        <v>30</v>
      </c>
      <c r="K513">
        <f t="shared" si="14"/>
        <v>2025</v>
      </c>
      <c r="L513" t="str">
        <f t="shared" si="15"/>
        <v>31-40</v>
      </c>
      <c r="M513">
        <f>Table2[[#This Row],[appointment_date]]-Table2[[#This Row],[booking_date]]</f>
        <v>193</v>
      </c>
    </row>
    <row r="514" spans="1:13" x14ac:dyDescent="0.25">
      <c r="A514" s="4">
        <v>1024</v>
      </c>
      <c r="B514" s="3" t="s">
        <v>1403</v>
      </c>
      <c r="C514" s="4">
        <v>26</v>
      </c>
      <c r="D514" s="3" t="s">
        <v>68</v>
      </c>
      <c r="E514" s="5">
        <v>45950</v>
      </c>
      <c r="F514" s="5">
        <v>45544</v>
      </c>
      <c r="G514" s="3" t="s">
        <v>1404</v>
      </c>
      <c r="H514" s="3" t="s">
        <v>18</v>
      </c>
      <c r="I514" s="2">
        <v>412.86</v>
      </c>
      <c r="J514" s="3" t="s">
        <v>30</v>
      </c>
      <c r="K514">
        <f t="shared" si="14"/>
        <v>2025</v>
      </c>
      <c r="L514" t="str">
        <f t="shared" si="15"/>
        <v>18-30</v>
      </c>
      <c r="M514">
        <f>Table2[[#This Row],[appointment_date]]-Table2[[#This Row],[booking_date]]</f>
        <v>406</v>
      </c>
    </row>
    <row r="515" spans="1:13" x14ac:dyDescent="0.25">
      <c r="A515" s="4">
        <v>1017</v>
      </c>
      <c r="B515" s="3" t="s">
        <v>1406</v>
      </c>
      <c r="C515" s="4">
        <v>86</v>
      </c>
      <c r="D515" s="3" t="s">
        <v>37</v>
      </c>
      <c r="E515" s="5">
        <v>46062</v>
      </c>
      <c r="F515" s="5">
        <v>46043</v>
      </c>
      <c r="G515" s="3" t="s">
        <v>1407</v>
      </c>
      <c r="H515" s="3" t="s">
        <v>24</v>
      </c>
      <c r="I515" s="2">
        <v>469.3</v>
      </c>
      <c r="J515" s="3" t="s">
        <v>30</v>
      </c>
      <c r="K515">
        <f t="shared" ref="K515:K578" si="16">YEAR(E515)</f>
        <v>2026</v>
      </c>
      <c r="L515" t="str">
        <f t="shared" ref="L515:L578" si="17">IF(C515="","",IF(C515&lt;=30,"18-30",IF(C515&lt;=40,"31-40",IF(C515&lt;=50,"41-50",IF(C515&lt;=60,"51-60",IF(C515&lt;=70,"61-70",IF(C515&lt;=80,"71-80","81-90")))))))</f>
        <v>81-90</v>
      </c>
      <c r="M515">
        <f>Table2[[#This Row],[appointment_date]]-Table2[[#This Row],[booking_date]]</f>
        <v>19</v>
      </c>
    </row>
    <row r="516" spans="1:13" x14ac:dyDescent="0.25">
      <c r="A516" s="4">
        <v>1010</v>
      </c>
      <c r="B516" s="3" t="s">
        <v>1408</v>
      </c>
      <c r="C516" s="4">
        <v>82</v>
      </c>
      <c r="D516" s="3" t="s">
        <v>68</v>
      </c>
      <c r="E516" s="5">
        <v>45853</v>
      </c>
      <c r="F516" s="5">
        <v>45796</v>
      </c>
      <c r="G516" s="3" t="s">
        <v>1409</v>
      </c>
      <c r="H516" s="3" t="s">
        <v>18</v>
      </c>
      <c r="I516" s="2">
        <v>555.45000000000005</v>
      </c>
      <c r="J516" s="3" t="s">
        <v>35</v>
      </c>
      <c r="K516">
        <f t="shared" si="16"/>
        <v>2025</v>
      </c>
      <c r="L516" t="str">
        <f t="shared" si="17"/>
        <v>81-90</v>
      </c>
      <c r="M516">
        <f>Table2[[#This Row],[appointment_date]]-Table2[[#This Row],[booking_date]]</f>
        <v>57</v>
      </c>
    </row>
    <row r="517" spans="1:13" x14ac:dyDescent="0.25">
      <c r="A517" s="4">
        <v>1096</v>
      </c>
      <c r="B517" s="3" t="s">
        <v>1411</v>
      </c>
      <c r="C517" s="4">
        <v>82</v>
      </c>
      <c r="D517" s="3" t="s">
        <v>68</v>
      </c>
      <c r="E517" s="5">
        <v>45792</v>
      </c>
      <c r="F517" s="5">
        <v>45790</v>
      </c>
      <c r="G517" s="3" t="s">
        <v>1412</v>
      </c>
      <c r="H517" s="3" t="s">
        <v>28</v>
      </c>
      <c r="I517" s="2">
        <v>452.33</v>
      </c>
      <c r="J517" s="3" t="s">
        <v>30</v>
      </c>
      <c r="K517">
        <f t="shared" si="16"/>
        <v>2025</v>
      </c>
      <c r="L517" t="str">
        <f t="shared" si="17"/>
        <v>81-90</v>
      </c>
      <c r="M517">
        <f>Table2[[#This Row],[appointment_date]]-Table2[[#This Row],[booking_date]]</f>
        <v>2</v>
      </c>
    </row>
    <row r="518" spans="1:13" x14ac:dyDescent="0.25">
      <c r="A518" s="4">
        <v>1024</v>
      </c>
      <c r="B518" s="3" t="s">
        <v>1414</v>
      </c>
      <c r="C518" s="4">
        <v>18</v>
      </c>
      <c r="D518" s="3" t="s">
        <v>68</v>
      </c>
      <c r="E518" s="5">
        <v>45936</v>
      </c>
      <c r="F518" s="5">
        <v>45624</v>
      </c>
      <c r="G518" s="3" t="s">
        <v>1415</v>
      </c>
      <c r="H518" s="3" t="s">
        <v>18</v>
      </c>
      <c r="I518" s="2">
        <v>5.13</v>
      </c>
      <c r="J518" s="3" t="s">
        <v>30</v>
      </c>
      <c r="K518">
        <f t="shared" si="16"/>
        <v>2025</v>
      </c>
      <c r="L518" t="str">
        <f t="shared" si="17"/>
        <v>18-30</v>
      </c>
      <c r="M518">
        <f>Table2[[#This Row],[appointment_date]]-Table2[[#This Row],[booking_date]]</f>
        <v>312</v>
      </c>
    </row>
    <row r="519" spans="1:13" x14ac:dyDescent="0.25">
      <c r="A519" s="4">
        <v>1058</v>
      </c>
      <c r="B519" s="3" t="s">
        <v>1417</v>
      </c>
      <c r="C519" s="4">
        <v>59</v>
      </c>
      <c r="D519" s="3" t="s">
        <v>37</v>
      </c>
      <c r="E519" s="5">
        <v>46096</v>
      </c>
      <c r="F519" s="5">
        <v>45663</v>
      </c>
      <c r="G519" s="3" t="s">
        <v>1418</v>
      </c>
      <c r="H519" s="3" t="s">
        <v>18</v>
      </c>
      <c r="I519" s="2">
        <v>163.52000000000001</v>
      </c>
      <c r="J519" s="3" t="s">
        <v>30</v>
      </c>
      <c r="K519">
        <f t="shared" si="16"/>
        <v>2026</v>
      </c>
      <c r="L519" t="str">
        <f t="shared" si="17"/>
        <v>51-60</v>
      </c>
      <c r="M519">
        <f>Table2[[#This Row],[appointment_date]]-Table2[[#This Row],[booking_date]]</f>
        <v>433</v>
      </c>
    </row>
    <row r="520" spans="1:13" x14ac:dyDescent="0.25">
      <c r="A520" s="4">
        <v>1068</v>
      </c>
      <c r="B520" s="3" t="s">
        <v>1419</v>
      </c>
      <c r="C520" s="4">
        <v>37</v>
      </c>
      <c r="D520" s="3" t="s">
        <v>68</v>
      </c>
      <c r="E520" s="5">
        <v>45979</v>
      </c>
      <c r="F520" s="5">
        <v>45614</v>
      </c>
      <c r="G520" s="3" t="s">
        <v>1420</v>
      </c>
      <c r="H520" s="3" t="s">
        <v>13</v>
      </c>
      <c r="I520" s="2">
        <v>3.92</v>
      </c>
      <c r="J520" s="3" t="s">
        <v>35</v>
      </c>
      <c r="K520">
        <f t="shared" si="16"/>
        <v>2025</v>
      </c>
      <c r="L520" t="str">
        <f t="shared" si="17"/>
        <v>31-40</v>
      </c>
      <c r="M520">
        <f>Table2[[#This Row],[appointment_date]]-Table2[[#This Row],[booking_date]]</f>
        <v>365</v>
      </c>
    </row>
    <row r="521" spans="1:13" x14ac:dyDescent="0.25">
      <c r="A521" s="4">
        <v>1013</v>
      </c>
      <c r="B521" s="3" t="s">
        <v>1422</v>
      </c>
      <c r="C521" s="4">
        <v>71</v>
      </c>
      <c r="D521" s="3" t="s">
        <v>37</v>
      </c>
      <c r="E521" s="5">
        <v>45874</v>
      </c>
      <c r="F521" s="5">
        <v>45845</v>
      </c>
      <c r="G521" s="3" t="s">
        <v>1423</v>
      </c>
      <c r="H521" s="3" t="s">
        <v>18</v>
      </c>
      <c r="I521" s="2">
        <v>400.62</v>
      </c>
      <c r="J521" s="3" t="s">
        <v>30</v>
      </c>
      <c r="K521">
        <f t="shared" si="16"/>
        <v>2025</v>
      </c>
      <c r="L521" t="str">
        <f t="shared" si="17"/>
        <v>71-80</v>
      </c>
      <c r="M521">
        <f>Table2[[#This Row],[appointment_date]]-Table2[[#This Row],[booking_date]]</f>
        <v>29</v>
      </c>
    </row>
    <row r="522" spans="1:13" x14ac:dyDescent="0.25">
      <c r="A522" s="4">
        <v>1009</v>
      </c>
      <c r="B522" s="3" t="s">
        <v>1424</v>
      </c>
      <c r="C522" s="4">
        <v>49</v>
      </c>
      <c r="D522" s="3" t="s">
        <v>37</v>
      </c>
      <c r="E522" s="5">
        <v>46070</v>
      </c>
      <c r="F522" s="5">
        <v>46038</v>
      </c>
      <c r="G522" s="3" t="s">
        <v>1425</v>
      </c>
      <c r="H522" s="3" t="s">
        <v>13</v>
      </c>
      <c r="I522" s="2">
        <v>177.93</v>
      </c>
      <c r="J522" s="3" t="s">
        <v>30</v>
      </c>
      <c r="K522">
        <f t="shared" si="16"/>
        <v>2026</v>
      </c>
      <c r="L522" t="str">
        <f t="shared" si="17"/>
        <v>41-50</v>
      </c>
      <c r="M522">
        <f>Table2[[#This Row],[appointment_date]]-Table2[[#This Row],[booking_date]]</f>
        <v>32</v>
      </c>
    </row>
    <row r="523" spans="1:13" x14ac:dyDescent="0.25">
      <c r="A523" s="4">
        <v>1031</v>
      </c>
      <c r="B523" s="3" t="s">
        <v>1426</v>
      </c>
      <c r="C523" s="4">
        <v>35</v>
      </c>
      <c r="D523" s="3" t="s">
        <v>68</v>
      </c>
      <c r="E523" s="5">
        <v>45844</v>
      </c>
      <c r="F523" s="5">
        <v>45721</v>
      </c>
      <c r="G523" s="3" t="s">
        <v>1427</v>
      </c>
      <c r="H523" s="3" t="s">
        <v>28</v>
      </c>
      <c r="I523" s="2">
        <v>416.34</v>
      </c>
      <c r="J523" s="3" t="s">
        <v>35</v>
      </c>
      <c r="K523">
        <f t="shared" si="16"/>
        <v>2025</v>
      </c>
      <c r="L523" t="str">
        <f t="shared" si="17"/>
        <v>31-40</v>
      </c>
      <c r="M523">
        <f>Table2[[#This Row],[appointment_date]]-Table2[[#This Row],[booking_date]]</f>
        <v>123</v>
      </c>
    </row>
    <row r="524" spans="1:13" x14ac:dyDescent="0.25">
      <c r="A524" s="4">
        <v>1043</v>
      </c>
      <c r="B524" s="3" t="s">
        <v>1429</v>
      </c>
      <c r="C524" s="4">
        <v>38</v>
      </c>
      <c r="D524" s="3" t="s">
        <v>68</v>
      </c>
      <c r="E524" s="5">
        <v>46050</v>
      </c>
      <c r="F524" s="5">
        <v>45809</v>
      </c>
      <c r="G524" s="3" t="s">
        <v>1430</v>
      </c>
      <c r="H524" s="3" t="s">
        <v>24</v>
      </c>
      <c r="I524" s="2">
        <v>564.59</v>
      </c>
      <c r="J524" s="3" t="s">
        <v>30</v>
      </c>
      <c r="K524">
        <f t="shared" si="16"/>
        <v>2026</v>
      </c>
      <c r="L524" t="str">
        <f t="shared" si="17"/>
        <v>31-40</v>
      </c>
      <c r="M524">
        <f>Table2[[#This Row],[appointment_date]]-Table2[[#This Row],[booking_date]]</f>
        <v>241</v>
      </c>
    </row>
    <row r="525" spans="1:13" x14ac:dyDescent="0.25">
      <c r="A525" s="4">
        <v>1072</v>
      </c>
      <c r="B525" s="3" t="s">
        <v>1432</v>
      </c>
      <c r="C525" s="4">
        <v>30</v>
      </c>
      <c r="D525" s="3" t="s">
        <v>37</v>
      </c>
      <c r="E525" s="5">
        <v>46047</v>
      </c>
      <c r="F525" s="5">
        <v>45931</v>
      </c>
      <c r="G525" s="3" t="s">
        <v>1433</v>
      </c>
      <c r="H525" s="3" t="s">
        <v>28</v>
      </c>
      <c r="I525" s="2">
        <v>2.4500000000000002</v>
      </c>
      <c r="J525" s="3" t="s">
        <v>35</v>
      </c>
      <c r="K525">
        <f t="shared" si="16"/>
        <v>2026</v>
      </c>
      <c r="L525" t="str">
        <f t="shared" si="17"/>
        <v>18-30</v>
      </c>
      <c r="M525">
        <f>Table2[[#This Row],[appointment_date]]-Table2[[#This Row],[booking_date]]</f>
        <v>116</v>
      </c>
    </row>
    <row r="526" spans="1:13" x14ac:dyDescent="0.25">
      <c r="A526" s="4">
        <v>1055</v>
      </c>
      <c r="B526" s="3" t="s">
        <v>1435</v>
      </c>
      <c r="C526" s="4">
        <v>80</v>
      </c>
      <c r="D526" s="3" t="s">
        <v>37</v>
      </c>
      <c r="E526" s="5">
        <v>45775</v>
      </c>
      <c r="F526" s="5">
        <v>45381</v>
      </c>
      <c r="G526" s="3" t="s">
        <v>1436</v>
      </c>
      <c r="H526" s="3" t="s">
        <v>24</v>
      </c>
      <c r="I526" s="2">
        <v>391.43</v>
      </c>
      <c r="J526" s="3" t="s">
        <v>30</v>
      </c>
      <c r="K526">
        <f t="shared" si="16"/>
        <v>2025</v>
      </c>
      <c r="L526" t="str">
        <f t="shared" si="17"/>
        <v>71-80</v>
      </c>
      <c r="M526">
        <f>Table2[[#This Row],[appointment_date]]-Table2[[#This Row],[booking_date]]</f>
        <v>394</v>
      </c>
    </row>
    <row r="527" spans="1:13" x14ac:dyDescent="0.25">
      <c r="A527" s="4">
        <v>1098</v>
      </c>
      <c r="B527" s="3" t="s">
        <v>1438</v>
      </c>
      <c r="C527" s="4">
        <v>75</v>
      </c>
      <c r="D527" s="3" t="s">
        <v>37</v>
      </c>
      <c r="E527" s="5">
        <v>46019</v>
      </c>
      <c r="F527" s="5">
        <v>45642</v>
      </c>
      <c r="G527" s="3" t="s">
        <v>1439</v>
      </c>
      <c r="H527" s="3" t="s">
        <v>24</v>
      </c>
      <c r="I527" s="2">
        <v>482.2</v>
      </c>
      <c r="J527" s="3" t="s">
        <v>35</v>
      </c>
      <c r="K527">
        <f t="shared" si="16"/>
        <v>2025</v>
      </c>
      <c r="L527" t="str">
        <f t="shared" si="17"/>
        <v>71-80</v>
      </c>
      <c r="M527">
        <f>Table2[[#This Row],[appointment_date]]-Table2[[#This Row],[booking_date]]</f>
        <v>377</v>
      </c>
    </row>
    <row r="528" spans="1:13" x14ac:dyDescent="0.25">
      <c r="A528" s="4">
        <v>1072</v>
      </c>
      <c r="B528" s="3" t="s">
        <v>1440</v>
      </c>
      <c r="C528" s="4">
        <v>49</v>
      </c>
      <c r="D528" s="3" t="s">
        <v>37</v>
      </c>
      <c r="E528" s="5">
        <v>45742</v>
      </c>
      <c r="F528" s="5">
        <v>45659</v>
      </c>
      <c r="G528" s="3" t="s">
        <v>1441</v>
      </c>
      <c r="H528" s="3" t="s">
        <v>13</v>
      </c>
      <c r="I528" s="2">
        <v>1.01</v>
      </c>
      <c r="J528" s="3" t="s">
        <v>30</v>
      </c>
      <c r="K528">
        <f t="shared" si="16"/>
        <v>2025</v>
      </c>
      <c r="L528" t="str">
        <f t="shared" si="17"/>
        <v>41-50</v>
      </c>
      <c r="M528">
        <f>Table2[[#This Row],[appointment_date]]-Table2[[#This Row],[booking_date]]</f>
        <v>83</v>
      </c>
    </row>
    <row r="529" spans="1:13" x14ac:dyDescent="0.25">
      <c r="A529" s="4">
        <v>1070</v>
      </c>
      <c r="B529" s="3" t="s">
        <v>1443</v>
      </c>
      <c r="C529" s="4">
        <v>24</v>
      </c>
      <c r="D529" s="3" t="s">
        <v>68</v>
      </c>
      <c r="E529" s="5">
        <v>46052</v>
      </c>
      <c r="F529" s="5">
        <v>45642</v>
      </c>
      <c r="G529" s="3" t="s">
        <v>1444</v>
      </c>
      <c r="H529" s="3" t="s">
        <v>28</v>
      </c>
      <c r="I529" s="2">
        <v>492.31</v>
      </c>
      <c r="J529" s="3" t="s">
        <v>30</v>
      </c>
      <c r="K529">
        <f t="shared" si="16"/>
        <v>2026</v>
      </c>
      <c r="L529" t="str">
        <f t="shared" si="17"/>
        <v>18-30</v>
      </c>
      <c r="M529">
        <f>Table2[[#This Row],[appointment_date]]-Table2[[#This Row],[booking_date]]</f>
        <v>410</v>
      </c>
    </row>
    <row r="530" spans="1:13" x14ac:dyDescent="0.25">
      <c r="A530" s="4">
        <v>1061</v>
      </c>
      <c r="B530" s="3" t="s">
        <v>1446</v>
      </c>
      <c r="C530" s="4">
        <v>74</v>
      </c>
      <c r="D530" s="3" t="s">
        <v>37</v>
      </c>
      <c r="E530" s="5">
        <v>45901</v>
      </c>
      <c r="F530" s="5">
        <v>45803</v>
      </c>
      <c r="G530" s="3" t="s">
        <v>1447</v>
      </c>
      <c r="H530" s="3" t="s">
        <v>28</v>
      </c>
      <c r="I530" s="2">
        <v>5.21</v>
      </c>
      <c r="J530" s="3" t="s">
        <v>35</v>
      </c>
      <c r="K530">
        <f t="shared" si="16"/>
        <v>2025</v>
      </c>
      <c r="L530" t="str">
        <f t="shared" si="17"/>
        <v>71-80</v>
      </c>
      <c r="M530">
        <f>Table2[[#This Row],[appointment_date]]-Table2[[#This Row],[booking_date]]</f>
        <v>98</v>
      </c>
    </row>
    <row r="531" spans="1:13" x14ac:dyDescent="0.25">
      <c r="A531" s="4">
        <v>1059</v>
      </c>
      <c r="B531" s="3" t="s">
        <v>1449</v>
      </c>
      <c r="C531" s="4">
        <v>35</v>
      </c>
      <c r="D531" s="3" t="s">
        <v>68</v>
      </c>
      <c r="E531" s="5">
        <v>45972</v>
      </c>
      <c r="F531" s="5">
        <v>45491</v>
      </c>
      <c r="G531" s="3" t="s">
        <v>1450</v>
      </c>
      <c r="H531" s="3" t="s">
        <v>18</v>
      </c>
      <c r="I531" s="2" t="s">
        <v>2693</v>
      </c>
      <c r="J531" s="3" t="s">
        <v>30</v>
      </c>
      <c r="K531">
        <f t="shared" si="16"/>
        <v>2025</v>
      </c>
      <c r="L531" t="str">
        <f t="shared" si="17"/>
        <v>31-40</v>
      </c>
      <c r="M531">
        <f>Table2[[#This Row],[appointment_date]]-Table2[[#This Row],[booking_date]]</f>
        <v>481</v>
      </c>
    </row>
    <row r="532" spans="1:13" x14ac:dyDescent="0.25">
      <c r="A532" s="4">
        <v>1091</v>
      </c>
      <c r="B532" s="3" t="s">
        <v>1451</v>
      </c>
      <c r="C532" s="4">
        <v>85</v>
      </c>
      <c r="D532" s="3" t="s">
        <v>68</v>
      </c>
      <c r="E532" s="5">
        <v>45745</v>
      </c>
      <c r="F532" s="5">
        <v>45723</v>
      </c>
      <c r="G532" s="3" t="s">
        <v>1452</v>
      </c>
      <c r="H532" s="3" t="s">
        <v>13</v>
      </c>
      <c r="I532" s="2">
        <v>169.14</v>
      </c>
      <c r="J532" s="3" t="s">
        <v>30</v>
      </c>
      <c r="K532">
        <f t="shared" si="16"/>
        <v>2025</v>
      </c>
      <c r="L532" t="str">
        <f t="shared" si="17"/>
        <v>81-90</v>
      </c>
      <c r="M532">
        <f>Table2[[#This Row],[appointment_date]]-Table2[[#This Row],[booking_date]]</f>
        <v>22</v>
      </c>
    </row>
    <row r="533" spans="1:13" x14ac:dyDescent="0.25">
      <c r="A533" s="4">
        <v>1003</v>
      </c>
      <c r="B533" s="3" t="s">
        <v>1454</v>
      </c>
      <c r="C533" s="4">
        <v>64</v>
      </c>
      <c r="D533" s="3" t="s">
        <v>37</v>
      </c>
      <c r="E533" s="5">
        <v>46046</v>
      </c>
      <c r="F533" s="5">
        <v>45696</v>
      </c>
      <c r="G533" s="3" t="s">
        <v>1455</v>
      </c>
      <c r="H533" s="3" t="s">
        <v>13</v>
      </c>
      <c r="I533" s="2">
        <v>0.88</v>
      </c>
      <c r="J533" s="3" t="s">
        <v>30</v>
      </c>
      <c r="K533">
        <f t="shared" si="16"/>
        <v>2026</v>
      </c>
      <c r="L533" t="str">
        <f t="shared" si="17"/>
        <v>61-70</v>
      </c>
      <c r="M533">
        <f>Table2[[#This Row],[appointment_date]]-Table2[[#This Row],[booking_date]]</f>
        <v>350</v>
      </c>
    </row>
    <row r="534" spans="1:13" x14ac:dyDescent="0.25">
      <c r="A534" s="4">
        <v>1087</v>
      </c>
      <c r="B534" s="3" t="s">
        <v>1457</v>
      </c>
      <c r="C534" s="4">
        <v>70</v>
      </c>
      <c r="D534" s="3" t="s">
        <v>37</v>
      </c>
      <c r="E534" s="5">
        <v>45912</v>
      </c>
      <c r="F534" s="5">
        <v>45446</v>
      </c>
      <c r="G534" s="3" t="s">
        <v>1458</v>
      </c>
      <c r="H534" s="3" t="s">
        <v>24</v>
      </c>
      <c r="I534" s="2">
        <v>222.52</v>
      </c>
      <c r="J534" s="3" t="s">
        <v>35</v>
      </c>
      <c r="K534">
        <f t="shared" si="16"/>
        <v>2025</v>
      </c>
      <c r="L534" t="str">
        <f t="shared" si="17"/>
        <v>61-70</v>
      </c>
      <c r="M534">
        <f>Table2[[#This Row],[appointment_date]]-Table2[[#This Row],[booking_date]]</f>
        <v>466</v>
      </c>
    </row>
    <row r="535" spans="1:13" x14ac:dyDescent="0.25">
      <c r="A535" s="4">
        <v>1049</v>
      </c>
      <c r="B535" s="3" t="s">
        <v>1460</v>
      </c>
      <c r="C535" s="4">
        <v>37</v>
      </c>
      <c r="D535" s="3"/>
      <c r="E535" s="5">
        <v>45787</v>
      </c>
      <c r="F535" s="5">
        <v>45530</v>
      </c>
      <c r="G535" s="3" t="s">
        <v>1461</v>
      </c>
      <c r="H535" s="3" t="s">
        <v>24</v>
      </c>
      <c r="I535" s="2">
        <v>2.14</v>
      </c>
      <c r="J535" s="3" t="s">
        <v>30</v>
      </c>
      <c r="K535">
        <f t="shared" si="16"/>
        <v>2025</v>
      </c>
      <c r="L535" t="str">
        <f t="shared" si="17"/>
        <v>31-40</v>
      </c>
      <c r="M535">
        <f>Table2[[#This Row],[appointment_date]]-Table2[[#This Row],[booking_date]]</f>
        <v>257</v>
      </c>
    </row>
    <row r="536" spans="1:13" x14ac:dyDescent="0.25">
      <c r="A536" s="4">
        <v>1056</v>
      </c>
      <c r="B536" s="3" t="s">
        <v>1463</v>
      </c>
      <c r="C536" s="4">
        <v>24</v>
      </c>
      <c r="D536" s="3" t="s">
        <v>68</v>
      </c>
      <c r="E536" s="5">
        <v>45958</v>
      </c>
      <c r="F536" s="5">
        <v>45672</v>
      </c>
      <c r="G536" s="3" t="s">
        <v>1464</v>
      </c>
      <c r="H536" s="3" t="s">
        <v>13</v>
      </c>
      <c r="I536" s="2">
        <v>97.67</v>
      </c>
      <c r="J536" s="3" t="s">
        <v>35</v>
      </c>
      <c r="K536">
        <f t="shared" si="16"/>
        <v>2025</v>
      </c>
      <c r="L536" t="str">
        <f t="shared" si="17"/>
        <v>18-30</v>
      </c>
      <c r="M536">
        <f>Table2[[#This Row],[appointment_date]]-Table2[[#This Row],[booking_date]]</f>
        <v>286</v>
      </c>
    </row>
    <row r="537" spans="1:13" x14ac:dyDescent="0.25">
      <c r="A537" s="4">
        <v>1057</v>
      </c>
      <c r="B537" s="3" t="s">
        <v>1465</v>
      </c>
      <c r="C537" s="4">
        <v>86</v>
      </c>
      <c r="D537" s="3" t="s">
        <v>37</v>
      </c>
      <c r="E537" s="5">
        <v>45819</v>
      </c>
      <c r="F537" s="5">
        <v>45563</v>
      </c>
      <c r="G537" s="3" t="s">
        <v>1466</v>
      </c>
      <c r="H537" s="3" t="s">
        <v>18</v>
      </c>
      <c r="I537" s="2">
        <v>339.03</v>
      </c>
      <c r="J537" s="3" t="s">
        <v>30</v>
      </c>
      <c r="K537">
        <f t="shared" si="16"/>
        <v>2025</v>
      </c>
      <c r="L537" t="str">
        <f t="shared" si="17"/>
        <v>81-90</v>
      </c>
      <c r="M537">
        <f>Table2[[#This Row],[appointment_date]]-Table2[[#This Row],[booking_date]]</f>
        <v>256</v>
      </c>
    </row>
    <row r="538" spans="1:13" x14ac:dyDescent="0.25">
      <c r="A538" s="4">
        <v>1054</v>
      </c>
      <c r="B538" s="3" t="s">
        <v>1468</v>
      </c>
      <c r="C538" s="4">
        <v>57</v>
      </c>
      <c r="D538" s="3" t="s">
        <v>68</v>
      </c>
      <c r="E538" s="5">
        <v>45939</v>
      </c>
      <c r="F538" s="5">
        <v>45733</v>
      </c>
      <c r="G538" s="3" t="s">
        <v>1469</v>
      </c>
      <c r="H538" s="3" t="s">
        <v>24</v>
      </c>
      <c r="I538" s="2">
        <v>169.09</v>
      </c>
      <c r="J538" s="3" t="s">
        <v>30</v>
      </c>
      <c r="K538">
        <f t="shared" si="16"/>
        <v>2025</v>
      </c>
      <c r="L538" t="str">
        <f t="shared" si="17"/>
        <v>51-60</v>
      </c>
      <c r="M538">
        <f>Table2[[#This Row],[appointment_date]]-Table2[[#This Row],[booking_date]]</f>
        <v>206</v>
      </c>
    </row>
    <row r="539" spans="1:13" x14ac:dyDescent="0.25">
      <c r="A539" s="4">
        <v>1040</v>
      </c>
      <c r="B539" s="3" t="s">
        <v>1470</v>
      </c>
      <c r="C539" s="4">
        <v>20</v>
      </c>
      <c r="D539" s="3" t="s">
        <v>68</v>
      </c>
      <c r="E539" s="5">
        <v>45890</v>
      </c>
      <c r="F539" s="5">
        <v>45397</v>
      </c>
      <c r="G539" s="3" t="s">
        <v>1471</v>
      </c>
      <c r="H539" s="3" t="s">
        <v>13</v>
      </c>
      <c r="I539" s="2" t="s">
        <v>2693</v>
      </c>
      <c r="J539" s="3" t="s">
        <v>30</v>
      </c>
      <c r="K539">
        <f t="shared" si="16"/>
        <v>2025</v>
      </c>
      <c r="L539" t="str">
        <f t="shared" si="17"/>
        <v>18-30</v>
      </c>
      <c r="M539">
        <f>Table2[[#This Row],[appointment_date]]-Table2[[#This Row],[booking_date]]</f>
        <v>493</v>
      </c>
    </row>
    <row r="540" spans="1:13" x14ac:dyDescent="0.25">
      <c r="A540" s="4">
        <v>1059</v>
      </c>
      <c r="B540" s="3" t="s">
        <v>1472</v>
      </c>
      <c r="C540" s="4">
        <v>88</v>
      </c>
      <c r="D540" s="3" t="s">
        <v>68</v>
      </c>
      <c r="E540" s="5">
        <v>45868</v>
      </c>
      <c r="F540" s="5">
        <v>45838</v>
      </c>
      <c r="G540" s="3" t="s">
        <v>1473</v>
      </c>
      <c r="H540" s="3" t="s">
        <v>28</v>
      </c>
      <c r="I540" s="2">
        <v>1.04</v>
      </c>
      <c r="J540" s="3" t="s">
        <v>35</v>
      </c>
      <c r="K540">
        <f t="shared" si="16"/>
        <v>2025</v>
      </c>
      <c r="L540" t="str">
        <f t="shared" si="17"/>
        <v>81-90</v>
      </c>
      <c r="M540">
        <f>Table2[[#This Row],[appointment_date]]-Table2[[#This Row],[booking_date]]</f>
        <v>30</v>
      </c>
    </row>
    <row r="541" spans="1:13" x14ac:dyDescent="0.25">
      <c r="A541" s="4">
        <v>1035</v>
      </c>
      <c r="B541" s="3" t="s">
        <v>1475</v>
      </c>
      <c r="C541" s="4">
        <v>84</v>
      </c>
      <c r="D541" s="3" t="s">
        <v>37</v>
      </c>
      <c r="E541" s="5">
        <v>45939</v>
      </c>
      <c r="F541" s="5">
        <v>45787</v>
      </c>
      <c r="G541" s="3" t="s">
        <v>1476</v>
      </c>
      <c r="H541" s="3" t="s">
        <v>18</v>
      </c>
      <c r="I541" s="2">
        <v>112.88</v>
      </c>
      <c r="J541" s="3" t="s">
        <v>30</v>
      </c>
      <c r="K541">
        <f t="shared" si="16"/>
        <v>2025</v>
      </c>
      <c r="L541" t="str">
        <f t="shared" si="17"/>
        <v>81-90</v>
      </c>
      <c r="M541">
        <f>Table2[[#This Row],[appointment_date]]-Table2[[#This Row],[booking_date]]</f>
        <v>152</v>
      </c>
    </row>
    <row r="542" spans="1:13" x14ac:dyDescent="0.25">
      <c r="A542" s="4">
        <v>1086</v>
      </c>
      <c r="B542" s="3" t="s">
        <v>1478</v>
      </c>
      <c r="C542" s="4">
        <v>86</v>
      </c>
      <c r="D542" s="3" t="s">
        <v>37</v>
      </c>
      <c r="E542" s="5">
        <v>45872</v>
      </c>
      <c r="F542" s="5">
        <v>45707</v>
      </c>
      <c r="G542" s="3" t="s">
        <v>1479</v>
      </c>
      <c r="H542" s="3" t="s">
        <v>18</v>
      </c>
      <c r="I542" s="2">
        <v>338.43</v>
      </c>
      <c r="J542" s="3" t="s">
        <v>35</v>
      </c>
      <c r="K542">
        <f t="shared" si="16"/>
        <v>2025</v>
      </c>
      <c r="L542" t="str">
        <f t="shared" si="17"/>
        <v>81-90</v>
      </c>
      <c r="M542">
        <f>Table2[[#This Row],[appointment_date]]-Table2[[#This Row],[booking_date]]</f>
        <v>165</v>
      </c>
    </row>
    <row r="543" spans="1:13" x14ac:dyDescent="0.25">
      <c r="A543" s="4">
        <v>1050</v>
      </c>
      <c r="B543" s="3" t="s">
        <v>1480</v>
      </c>
      <c r="C543" s="4">
        <v>60</v>
      </c>
      <c r="D543" s="3" t="s">
        <v>37</v>
      </c>
      <c r="E543" s="5">
        <v>45783</v>
      </c>
      <c r="F543" s="5">
        <v>45576</v>
      </c>
      <c r="G543" s="3" t="s">
        <v>1481</v>
      </c>
      <c r="H543" s="3" t="s">
        <v>28</v>
      </c>
      <c r="I543" s="2">
        <v>453.66</v>
      </c>
      <c r="J543" s="3" t="s">
        <v>35</v>
      </c>
      <c r="K543">
        <f t="shared" si="16"/>
        <v>2025</v>
      </c>
      <c r="L543" t="str">
        <f t="shared" si="17"/>
        <v>51-60</v>
      </c>
      <c r="M543">
        <f>Table2[[#This Row],[appointment_date]]-Table2[[#This Row],[booking_date]]</f>
        <v>207</v>
      </c>
    </row>
    <row r="544" spans="1:13" x14ac:dyDescent="0.25">
      <c r="A544" s="4">
        <v>1024</v>
      </c>
      <c r="B544" s="3" t="s">
        <v>1482</v>
      </c>
      <c r="C544" s="4">
        <v>72</v>
      </c>
      <c r="D544" s="3"/>
      <c r="E544" s="5">
        <v>45872</v>
      </c>
      <c r="F544" s="5">
        <v>45758</v>
      </c>
      <c r="G544" s="3" t="s">
        <v>1483</v>
      </c>
      <c r="H544" s="3" t="s">
        <v>18</v>
      </c>
      <c r="I544" s="2" t="s">
        <v>2693</v>
      </c>
      <c r="J544" s="3" t="s">
        <v>35</v>
      </c>
      <c r="K544">
        <f t="shared" si="16"/>
        <v>2025</v>
      </c>
      <c r="L544" t="str">
        <f t="shared" si="17"/>
        <v>71-80</v>
      </c>
      <c r="M544">
        <f>Table2[[#This Row],[appointment_date]]-Table2[[#This Row],[booking_date]]</f>
        <v>114</v>
      </c>
    </row>
    <row r="545" spans="1:13" x14ac:dyDescent="0.25">
      <c r="A545" s="4">
        <v>1046</v>
      </c>
      <c r="B545" s="3" t="s">
        <v>1484</v>
      </c>
      <c r="C545" s="4">
        <v>76</v>
      </c>
      <c r="D545" s="3" t="s">
        <v>68</v>
      </c>
      <c r="E545" s="5">
        <v>46028</v>
      </c>
      <c r="F545" s="5">
        <v>45732</v>
      </c>
      <c r="G545" s="3" t="s">
        <v>1485</v>
      </c>
      <c r="H545" s="3" t="s">
        <v>13</v>
      </c>
      <c r="I545" s="2">
        <v>437.41</v>
      </c>
      <c r="J545" s="3" t="s">
        <v>35</v>
      </c>
      <c r="K545">
        <f t="shared" si="16"/>
        <v>2026</v>
      </c>
      <c r="L545" t="str">
        <f t="shared" si="17"/>
        <v>71-80</v>
      </c>
      <c r="M545">
        <f>Table2[[#This Row],[appointment_date]]-Table2[[#This Row],[booking_date]]</f>
        <v>296</v>
      </c>
    </row>
    <row r="546" spans="1:13" x14ac:dyDescent="0.25">
      <c r="A546" s="4">
        <v>1051</v>
      </c>
      <c r="B546" s="3" t="s">
        <v>1487</v>
      </c>
      <c r="C546" s="4">
        <v>81</v>
      </c>
      <c r="D546" s="3" t="s">
        <v>68</v>
      </c>
      <c r="E546" s="5">
        <v>46056</v>
      </c>
      <c r="F546" s="5">
        <v>45929</v>
      </c>
      <c r="G546" s="3" t="s">
        <v>1488</v>
      </c>
      <c r="H546" s="3" t="s">
        <v>24</v>
      </c>
      <c r="I546" s="2">
        <v>69.069999999999993</v>
      </c>
      <c r="J546" s="3" t="s">
        <v>30</v>
      </c>
      <c r="K546">
        <f t="shared" si="16"/>
        <v>2026</v>
      </c>
      <c r="L546" t="str">
        <f t="shared" si="17"/>
        <v>81-90</v>
      </c>
      <c r="M546">
        <f>Table2[[#This Row],[appointment_date]]-Table2[[#This Row],[booking_date]]</f>
        <v>127</v>
      </c>
    </row>
    <row r="547" spans="1:13" x14ac:dyDescent="0.25">
      <c r="A547" s="4">
        <v>1014</v>
      </c>
      <c r="B547" s="3" t="s">
        <v>1490</v>
      </c>
      <c r="C547" s="4">
        <v>81</v>
      </c>
      <c r="D547" s="3" t="s">
        <v>37</v>
      </c>
      <c r="E547" s="5">
        <v>45806</v>
      </c>
      <c r="F547" s="5">
        <v>45454</v>
      </c>
      <c r="G547" s="3" t="s">
        <v>1491</v>
      </c>
      <c r="H547" s="3" t="s">
        <v>18</v>
      </c>
      <c r="I547" s="2">
        <v>2.2200000000000002</v>
      </c>
      <c r="J547" s="3" t="s">
        <v>35</v>
      </c>
      <c r="K547">
        <f t="shared" si="16"/>
        <v>2025</v>
      </c>
      <c r="L547" t="str">
        <f t="shared" si="17"/>
        <v>81-90</v>
      </c>
      <c r="M547">
        <f>Table2[[#This Row],[appointment_date]]-Table2[[#This Row],[booking_date]]</f>
        <v>352</v>
      </c>
    </row>
    <row r="548" spans="1:13" x14ac:dyDescent="0.25">
      <c r="A548" s="4">
        <v>1059</v>
      </c>
      <c r="B548" s="3" t="s">
        <v>1493</v>
      </c>
      <c r="C548" s="4">
        <v>75</v>
      </c>
      <c r="D548" s="3" t="s">
        <v>37</v>
      </c>
      <c r="E548" s="5">
        <v>45762</v>
      </c>
      <c r="F548" s="5">
        <v>45444</v>
      </c>
      <c r="G548" s="3" t="s">
        <v>1494</v>
      </c>
      <c r="H548" s="3" t="s">
        <v>13</v>
      </c>
      <c r="I548" s="2">
        <v>129.1</v>
      </c>
      <c r="J548" s="3" t="s">
        <v>35</v>
      </c>
      <c r="K548">
        <f t="shared" si="16"/>
        <v>2025</v>
      </c>
      <c r="L548" t="str">
        <f t="shared" si="17"/>
        <v>71-80</v>
      </c>
      <c r="M548">
        <f>Table2[[#This Row],[appointment_date]]-Table2[[#This Row],[booking_date]]</f>
        <v>318</v>
      </c>
    </row>
    <row r="549" spans="1:13" x14ac:dyDescent="0.25">
      <c r="A549" s="4">
        <v>1040</v>
      </c>
      <c r="B549" s="3" t="s">
        <v>1495</v>
      </c>
      <c r="C549" s="4">
        <v>77</v>
      </c>
      <c r="D549" s="3" t="s">
        <v>68</v>
      </c>
      <c r="E549" s="5">
        <v>46006</v>
      </c>
      <c r="F549" s="5">
        <v>45523</v>
      </c>
      <c r="G549" s="3" t="s">
        <v>1496</v>
      </c>
      <c r="H549" s="3" t="s">
        <v>13</v>
      </c>
      <c r="I549" s="2" t="s">
        <v>2693</v>
      </c>
      <c r="J549" s="3" t="s">
        <v>30</v>
      </c>
      <c r="K549">
        <f t="shared" si="16"/>
        <v>2025</v>
      </c>
      <c r="L549" t="str">
        <f t="shared" si="17"/>
        <v>71-80</v>
      </c>
      <c r="M549">
        <f>Table2[[#This Row],[appointment_date]]-Table2[[#This Row],[booking_date]]</f>
        <v>483</v>
      </c>
    </row>
    <row r="550" spans="1:13" x14ac:dyDescent="0.25">
      <c r="A550" s="4">
        <v>1092</v>
      </c>
      <c r="B550" s="3" t="s">
        <v>1497</v>
      </c>
      <c r="C550" s="4">
        <v>74</v>
      </c>
      <c r="D550" s="3" t="s">
        <v>37</v>
      </c>
      <c r="E550" s="5">
        <v>45862</v>
      </c>
      <c r="F550" s="5">
        <v>45771</v>
      </c>
      <c r="G550" s="3" t="s">
        <v>1498</v>
      </c>
      <c r="H550" s="3" t="s">
        <v>28</v>
      </c>
      <c r="I550" s="2">
        <v>153.53</v>
      </c>
      <c r="J550" s="3" t="s">
        <v>35</v>
      </c>
      <c r="K550">
        <f t="shared" si="16"/>
        <v>2025</v>
      </c>
      <c r="L550" t="str">
        <f t="shared" si="17"/>
        <v>71-80</v>
      </c>
      <c r="M550">
        <f>Table2[[#This Row],[appointment_date]]-Table2[[#This Row],[booking_date]]</f>
        <v>91</v>
      </c>
    </row>
    <row r="551" spans="1:13" x14ac:dyDescent="0.25">
      <c r="A551" s="4">
        <v>1010</v>
      </c>
      <c r="B551" s="3" t="s">
        <v>1499</v>
      </c>
      <c r="C551" s="4">
        <v>60</v>
      </c>
      <c r="D551" s="3" t="s">
        <v>68</v>
      </c>
      <c r="E551" s="5">
        <v>46048</v>
      </c>
      <c r="F551" s="5">
        <v>45421</v>
      </c>
      <c r="G551" s="3" t="s">
        <v>1500</v>
      </c>
      <c r="H551" s="3" t="s">
        <v>13</v>
      </c>
      <c r="I551" s="2">
        <v>2.4500000000000002</v>
      </c>
      <c r="J551" s="3" t="s">
        <v>35</v>
      </c>
      <c r="K551">
        <f t="shared" si="16"/>
        <v>2026</v>
      </c>
      <c r="L551" t="str">
        <f t="shared" si="17"/>
        <v>51-60</v>
      </c>
      <c r="M551">
        <f>Table2[[#This Row],[appointment_date]]-Table2[[#This Row],[booking_date]]</f>
        <v>627</v>
      </c>
    </row>
    <row r="552" spans="1:13" x14ac:dyDescent="0.25">
      <c r="A552" s="4">
        <v>1032</v>
      </c>
      <c r="B552" s="3" t="s">
        <v>1502</v>
      </c>
      <c r="C552" s="4">
        <v>28</v>
      </c>
      <c r="D552" s="3" t="s">
        <v>68</v>
      </c>
      <c r="E552" s="5">
        <v>45852</v>
      </c>
      <c r="F552" s="5">
        <v>45520</v>
      </c>
      <c r="G552" s="3" t="s">
        <v>1503</v>
      </c>
      <c r="H552" s="3" t="s">
        <v>24</v>
      </c>
      <c r="I552" s="2">
        <v>4.4400000000000004</v>
      </c>
      <c r="J552" s="3" t="s">
        <v>35</v>
      </c>
      <c r="K552">
        <f t="shared" si="16"/>
        <v>2025</v>
      </c>
      <c r="L552" t="str">
        <f t="shared" si="17"/>
        <v>18-30</v>
      </c>
      <c r="M552">
        <f>Table2[[#This Row],[appointment_date]]-Table2[[#This Row],[booking_date]]</f>
        <v>332</v>
      </c>
    </row>
    <row r="553" spans="1:13" x14ac:dyDescent="0.25">
      <c r="A553" s="4">
        <v>1020</v>
      </c>
      <c r="B553" s="3" t="s">
        <v>1505</v>
      </c>
      <c r="C553" s="4">
        <v>45</v>
      </c>
      <c r="D553" s="3" t="s">
        <v>37</v>
      </c>
      <c r="E553" s="5">
        <v>45990</v>
      </c>
      <c r="F553" s="5">
        <v>45900</v>
      </c>
      <c r="G553" s="3" t="s">
        <v>1506</v>
      </c>
      <c r="H553" s="3" t="s">
        <v>28</v>
      </c>
      <c r="I553" s="2">
        <v>343.21</v>
      </c>
      <c r="J553" s="3" t="s">
        <v>30</v>
      </c>
      <c r="K553">
        <f t="shared" si="16"/>
        <v>2025</v>
      </c>
      <c r="L553" t="str">
        <f t="shared" si="17"/>
        <v>41-50</v>
      </c>
      <c r="M553">
        <f>Table2[[#This Row],[appointment_date]]-Table2[[#This Row],[booking_date]]</f>
        <v>90</v>
      </c>
    </row>
    <row r="554" spans="1:13" x14ac:dyDescent="0.25">
      <c r="A554" s="4">
        <v>1020</v>
      </c>
      <c r="B554" s="3" t="s">
        <v>1507</v>
      </c>
      <c r="C554" s="4">
        <v>50</v>
      </c>
      <c r="D554" s="3" t="s">
        <v>68</v>
      </c>
      <c r="E554" s="5">
        <v>45887</v>
      </c>
      <c r="F554" s="5">
        <v>45794</v>
      </c>
      <c r="G554" s="3" t="s">
        <v>1508</v>
      </c>
      <c r="H554" s="3" t="s">
        <v>24</v>
      </c>
      <c r="I554" s="2">
        <v>90.4</v>
      </c>
      <c r="J554" s="3" t="s">
        <v>35</v>
      </c>
      <c r="K554">
        <f t="shared" si="16"/>
        <v>2025</v>
      </c>
      <c r="L554" t="str">
        <f t="shared" si="17"/>
        <v>41-50</v>
      </c>
      <c r="M554">
        <f>Table2[[#This Row],[appointment_date]]-Table2[[#This Row],[booking_date]]</f>
        <v>93</v>
      </c>
    </row>
    <row r="555" spans="1:13" x14ac:dyDescent="0.25">
      <c r="A555" s="4">
        <v>1017</v>
      </c>
      <c r="B555" s="3" t="s">
        <v>1510</v>
      </c>
      <c r="C555" s="4">
        <v>55</v>
      </c>
      <c r="D555" s="3" t="s">
        <v>68</v>
      </c>
      <c r="E555" s="5">
        <v>45856</v>
      </c>
      <c r="F555" s="5">
        <v>45479</v>
      </c>
      <c r="G555" s="3" t="s">
        <v>1511</v>
      </c>
      <c r="H555" s="3" t="s">
        <v>28</v>
      </c>
      <c r="I555" s="2">
        <v>4.0199999999999996</v>
      </c>
      <c r="J555" s="3" t="s">
        <v>30</v>
      </c>
      <c r="K555">
        <f t="shared" si="16"/>
        <v>2025</v>
      </c>
      <c r="L555" t="str">
        <f t="shared" si="17"/>
        <v>51-60</v>
      </c>
      <c r="M555">
        <f>Table2[[#This Row],[appointment_date]]-Table2[[#This Row],[booking_date]]</f>
        <v>377</v>
      </c>
    </row>
    <row r="556" spans="1:13" x14ac:dyDescent="0.25">
      <c r="A556" s="4">
        <v>1007</v>
      </c>
      <c r="B556" s="3" t="s">
        <v>1513</v>
      </c>
      <c r="C556" s="4">
        <v>25</v>
      </c>
      <c r="D556" s="3" t="s">
        <v>37</v>
      </c>
      <c r="E556" s="5">
        <v>45996</v>
      </c>
      <c r="F556" s="5">
        <v>45563</v>
      </c>
      <c r="G556" s="3" t="s">
        <v>1514</v>
      </c>
      <c r="H556" s="3" t="s">
        <v>24</v>
      </c>
      <c r="I556" s="2">
        <v>358.47</v>
      </c>
      <c r="J556" s="3" t="s">
        <v>35</v>
      </c>
      <c r="K556">
        <f t="shared" si="16"/>
        <v>2025</v>
      </c>
      <c r="L556" t="str">
        <f t="shared" si="17"/>
        <v>18-30</v>
      </c>
      <c r="M556">
        <f>Table2[[#This Row],[appointment_date]]-Table2[[#This Row],[booking_date]]</f>
        <v>433</v>
      </c>
    </row>
    <row r="557" spans="1:13" x14ac:dyDescent="0.25">
      <c r="A557" s="4">
        <v>1084</v>
      </c>
      <c r="B557" s="3" t="s">
        <v>1516</v>
      </c>
      <c r="C557" s="4">
        <v>69</v>
      </c>
      <c r="D557" s="3" t="s">
        <v>68</v>
      </c>
      <c r="E557" s="5">
        <v>45743</v>
      </c>
      <c r="F557" s="5">
        <v>45508</v>
      </c>
      <c r="G557" s="3" t="s">
        <v>1517</v>
      </c>
      <c r="H557" s="3" t="s">
        <v>28</v>
      </c>
      <c r="I557" s="2">
        <v>163.58000000000001</v>
      </c>
      <c r="J557" s="3" t="s">
        <v>30</v>
      </c>
      <c r="K557">
        <f t="shared" si="16"/>
        <v>2025</v>
      </c>
      <c r="L557" t="str">
        <f t="shared" si="17"/>
        <v>61-70</v>
      </c>
      <c r="M557">
        <f>Table2[[#This Row],[appointment_date]]-Table2[[#This Row],[booking_date]]</f>
        <v>235</v>
      </c>
    </row>
    <row r="558" spans="1:13" x14ac:dyDescent="0.25">
      <c r="A558" s="4">
        <v>1005</v>
      </c>
      <c r="B558" s="3" t="s">
        <v>1518</v>
      </c>
      <c r="C558" s="4">
        <v>84</v>
      </c>
      <c r="D558" s="3" t="s">
        <v>37</v>
      </c>
      <c r="E558" s="5">
        <v>46027</v>
      </c>
      <c r="F558" s="5">
        <v>45849</v>
      </c>
      <c r="G558" s="3" t="s">
        <v>1519</v>
      </c>
      <c r="H558" s="3" t="s">
        <v>13</v>
      </c>
      <c r="I558" s="2">
        <v>5.49</v>
      </c>
      <c r="J558" s="3" t="s">
        <v>30</v>
      </c>
      <c r="K558">
        <f t="shared" si="16"/>
        <v>2026</v>
      </c>
      <c r="L558" t="str">
        <f t="shared" si="17"/>
        <v>81-90</v>
      </c>
      <c r="M558">
        <f>Table2[[#This Row],[appointment_date]]-Table2[[#This Row],[booking_date]]</f>
        <v>178</v>
      </c>
    </row>
    <row r="559" spans="1:13" x14ac:dyDescent="0.25">
      <c r="A559" s="4">
        <v>1011</v>
      </c>
      <c r="B559" s="3" t="s">
        <v>1521</v>
      </c>
      <c r="C559" s="4">
        <v>50</v>
      </c>
      <c r="D559" s="3" t="s">
        <v>37</v>
      </c>
      <c r="E559" s="5">
        <v>45975</v>
      </c>
      <c r="F559" s="5">
        <v>45914</v>
      </c>
      <c r="G559" s="3" t="s">
        <v>1522</v>
      </c>
      <c r="H559" s="3" t="s">
        <v>13</v>
      </c>
      <c r="I559" s="2">
        <v>1.1200000000000001</v>
      </c>
      <c r="J559" s="3" t="s">
        <v>30</v>
      </c>
      <c r="K559">
        <f t="shared" si="16"/>
        <v>2025</v>
      </c>
      <c r="L559" t="str">
        <f t="shared" si="17"/>
        <v>41-50</v>
      </c>
      <c r="M559">
        <f>Table2[[#This Row],[appointment_date]]-Table2[[#This Row],[booking_date]]</f>
        <v>61</v>
      </c>
    </row>
    <row r="560" spans="1:13" x14ac:dyDescent="0.25">
      <c r="A560" s="4">
        <v>1085</v>
      </c>
      <c r="B560" s="3" t="s">
        <v>1524</v>
      </c>
      <c r="C560" s="4">
        <v>28</v>
      </c>
      <c r="D560" s="3" t="s">
        <v>37</v>
      </c>
      <c r="E560" s="5">
        <v>46089</v>
      </c>
      <c r="F560" s="5">
        <v>45634</v>
      </c>
      <c r="G560" s="3" t="s">
        <v>1525</v>
      </c>
      <c r="H560" s="3" t="s">
        <v>18</v>
      </c>
      <c r="I560" s="2" t="s">
        <v>2693</v>
      </c>
      <c r="J560" s="3" t="s">
        <v>30</v>
      </c>
      <c r="K560">
        <f t="shared" si="16"/>
        <v>2026</v>
      </c>
      <c r="L560" t="str">
        <f t="shared" si="17"/>
        <v>18-30</v>
      </c>
      <c r="M560">
        <f>Table2[[#This Row],[appointment_date]]-Table2[[#This Row],[booking_date]]</f>
        <v>455</v>
      </c>
    </row>
    <row r="561" spans="1:13" x14ac:dyDescent="0.25">
      <c r="A561" s="4">
        <v>1005</v>
      </c>
      <c r="B561" s="3" t="s">
        <v>1526</v>
      </c>
      <c r="C561" s="4">
        <v>24</v>
      </c>
      <c r="D561" s="3" t="s">
        <v>37</v>
      </c>
      <c r="E561" s="5">
        <v>45821</v>
      </c>
      <c r="F561" s="5">
        <v>45449</v>
      </c>
      <c r="G561" s="3" t="s">
        <v>1527</v>
      </c>
      <c r="H561" s="3" t="s">
        <v>13</v>
      </c>
      <c r="I561" s="2">
        <v>588.82000000000005</v>
      </c>
      <c r="J561" s="3" t="s">
        <v>30</v>
      </c>
      <c r="K561">
        <f t="shared" si="16"/>
        <v>2025</v>
      </c>
      <c r="L561" t="str">
        <f t="shared" si="17"/>
        <v>18-30</v>
      </c>
      <c r="M561">
        <f>Table2[[#This Row],[appointment_date]]-Table2[[#This Row],[booking_date]]</f>
        <v>372</v>
      </c>
    </row>
    <row r="562" spans="1:13" x14ac:dyDescent="0.25">
      <c r="A562" s="4">
        <v>1079</v>
      </c>
      <c r="B562" s="3" t="s">
        <v>1529</v>
      </c>
      <c r="C562" s="4">
        <v>52</v>
      </c>
      <c r="D562" s="3" t="s">
        <v>68</v>
      </c>
      <c r="E562" s="5">
        <v>45977</v>
      </c>
      <c r="F562" s="5">
        <v>45740</v>
      </c>
      <c r="G562" s="3" t="s">
        <v>1530</v>
      </c>
      <c r="H562" s="3" t="s">
        <v>13</v>
      </c>
      <c r="I562" s="2">
        <v>299.10000000000002</v>
      </c>
      <c r="J562" s="3" t="s">
        <v>30</v>
      </c>
      <c r="K562">
        <f t="shared" si="16"/>
        <v>2025</v>
      </c>
      <c r="L562" t="str">
        <f t="shared" si="17"/>
        <v>51-60</v>
      </c>
      <c r="M562">
        <f>Table2[[#This Row],[appointment_date]]-Table2[[#This Row],[booking_date]]</f>
        <v>237</v>
      </c>
    </row>
    <row r="563" spans="1:13" x14ac:dyDescent="0.25">
      <c r="A563" s="4">
        <v>1090</v>
      </c>
      <c r="B563" s="3" t="s">
        <v>1532</v>
      </c>
      <c r="C563" s="4">
        <v>53</v>
      </c>
      <c r="D563" s="3" t="s">
        <v>68</v>
      </c>
      <c r="E563" s="5">
        <v>46068</v>
      </c>
      <c r="F563" s="5">
        <v>45774</v>
      </c>
      <c r="G563" s="3" t="s">
        <v>1533</v>
      </c>
      <c r="H563" s="3" t="s">
        <v>18</v>
      </c>
      <c r="I563" s="2">
        <v>1.8</v>
      </c>
      <c r="J563" s="3" t="s">
        <v>35</v>
      </c>
      <c r="K563">
        <f t="shared" si="16"/>
        <v>2026</v>
      </c>
      <c r="L563" t="str">
        <f t="shared" si="17"/>
        <v>51-60</v>
      </c>
      <c r="M563">
        <f>Table2[[#This Row],[appointment_date]]-Table2[[#This Row],[booking_date]]</f>
        <v>294</v>
      </c>
    </row>
    <row r="564" spans="1:13" x14ac:dyDescent="0.25">
      <c r="A564" s="4">
        <v>1068</v>
      </c>
      <c r="B564" s="3" t="s">
        <v>1535</v>
      </c>
      <c r="C564" s="4">
        <v>59</v>
      </c>
      <c r="D564" s="3" t="s">
        <v>68</v>
      </c>
      <c r="E564" s="5">
        <v>45866</v>
      </c>
      <c r="F564" s="5">
        <v>45492</v>
      </c>
      <c r="G564" s="3" t="s">
        <v>1536</v>
      </c>
      <c r="H564" s="3" t="s">
        <v>13</v>
      </c>
      <c r="I564" s="2">
        <v>227.34</v>
      </c>
      <c r="J564" s="3" t="s">
        <v>30</v>
      </c>
      <c r="K564">
        <f t="shared" si="16"/>
        <v>2025</v>
      </c>
      <c r="L564" t="str">
        <f t="shared" si="17"/>
        <v>51-60</v>
      </c>
      <c r="M564">
        <f>Table2[[#This Row],[appointment_date]]-Table2[[#This Row],[booking_date]]</f>
        <v>374</v>
      </c>
    </row>
    <row r="565" spans="1:13" x14ac:dyDescent="0.25">
      <c r="A565" s="4">
        <v>1047</v>
      </c>
      <c r="B565" s="3" t="s">
        <v>1538</v>
      </c>
      <c r="C565" s="4">
        <v>31</v>
      </c>
      <c r="D565" s="3" t="s">
        <v>37</v>
      </c>
      <c r="E565" s="5">
        <v>45752</v>
      </c>
      <c r="F565" s="5">
        <v>45420</v>
      </c>
      <c r="G565" s="3" t="s">
        <v>1539</v>
      </c>
      <c r="H565" s="3" t="s">
        <v>13</v>
      </c>
      <c r="I565" s="2">
        <v>2.83</v>
      </c>
      <c r="J565" s="3" t="s">
        <v>30</v>
      </c>
      <c r="K565">
        <f t="shared" si="16"/>
        <v>2025</v>
      </c>
      <c r="L565" t="str">
        <f t="shared" si="17"/>
        <v>31-40</v>
      </c>
      <c r="M565">
        <f>Table2[[#This Row],[appointment_date]]-Table2[[#This Row],[booking_date]]</f>
        <v>332</v>
      </c>
    </row>
    <row r="566" spans="1:13" x14ac:dyDescent="0.25">
      <c r="A566" s="4">
        <v>1009</v>
      </c>
      <c r="B566" s="3" t="s">
        <v>1541</v>
      </c>
      <c r="C566" s="4">
        <v>74</v>
      </c>
      <c r="D566" s="3" t="s">
        <v>68</v>
      </c>
      <c r="E566" s="5">
        <v>46100</v>
      </c>
      <c r="F566" s="5">
        <v>45987</v>
      </c>
      <c r="G566" s="3" t="s">
        <v>1542</v>
      </c>
      <c r="H566" s="3" t="s">
        <v>13</v>
      </c>
      <c r="I566" s="2">
        <v>522.89</v>
      </c>
      <c r="J566" s="3" t="s">
        <v>30</v>
      </c>
      <c r="K566">
        <f t="shared" si="16"/>
        <v>2026</v>
      </c>
      <c r="L566" t="str">
        <f t="shared" si="17"/>
        <v>71-80</v>
      </c>
      <c r="M566">
        <f>Table2[[#This Row],[appointment_date]]-Table2[[#This Row],[booking_date]]</f>
        <v>113</v>
      </c>
    </row>
    <row r="567" spans="1:13" x14ac:dyDescent="0.25">
      <c r="A567" s="4">
        <v>1084</v>
      </c>
      <c r="B567" s="3" t="s">
        <v>1544</v>
      </c>
      <c r="C567" s="4">
        <v>83</v>
      </c>
      <c r="D567" s="3" t="s">
        <v>68</v>
      </c>
      <c r="E567" s="5">
        <v>46055</v>
      </c>
      <c r="F567" s="5">
        <v>45867</v>
      </c>
      <c r="G567" s="3" t="s">
        <v>1545</v>
      </c>
      <c r="H567" s="3" t="s">
        <v>28</v>
      </c>
      <c r="I567" s="2" t="s">
        <v>2693</v>
      </c>
      <c r="J567" s="3" t="s">
        <v>30</v>
      </c>
      <c r="K567">
        <f t="shared" si="16"/>
        <v>2026</v>
      </c>
      <c r="L567" t="str">
        <f t="shared" si="17"/>
        <v>81-90</v>
      </c>
      <c r="M567">
        <f>Table2[[#This Row],[appointment_date]]-Table2[[#This Row],[booking_date]]</f>
        <v>188</v>
      </c>
    </row>
    <row r="568" spans="1:13" x14ac:dyDescent="0.25">
      <c r="A568" s="4">
        <v>1016</v>
      </c>
      <c r="B568" s="3" t="s">
        <v>1546</v>
      </c>
      <c r="C568" s="4">
        <v>31</v>
      </c>
      <c r="D568" s="3" t="s">
        <v>68</v>
      </c>
      <c r="E568" s="5">
        <v>45957</v>
      </c>
      <c r="F568" s="5">
        <v>45728</v>
      </c>
      <c r="G568" s="3" t="s">
        <v>1547</v>
      </c>
      <c r="H568" s="3" t="s">
        <v>18</v>
      </c>
      <c r="I568" s="2">
        <v>549.66999999999996</v>
      </c>
      <c r="J568" s="3" t="s">
        <v>35</v>
      </c>
      <c r="K568">
        <f t="shared" si="16"/>
        <v>2025</v>
      </c>
      <c r="L568" t="str">
        <f t="shared" si="17"/>
        <v>31-40</v>
      </c>
      <c r="M568">
        <f>Table2[[#This Row],[appointment_date]]-Table2[[#This Row],[booking_date]]</f>
        <v>229</v>
      </c>
    </row>
    <row r="569" spans="1:13" x14ac:dyDescent="0.25">
      <c r="A569" s="4">
        <v>1068</v>
      </c>
      <c r="B569" s="3" t="s">
        <v>1549</v>
      </c>
      <c r="C569" s="4">
        <v>63</v>
      </c>
      <c r="D569" s="3" t="s">
        <v>68</v>
      </c>
      <c r="E569" s="5">
        <v>45932</v>
      </c>
      <c r="F569" s="5">
        <v>45449</v>
      </c>
      <c r="G569" s="3" t="s">
        <v>1550</v>
      </c>
      <c r="H569" s="3" t="s">
        <v>28</v>
      </c>
      <c r="I569" s="2">
        <v>2.4</v>
      </c>
      <c r="J569" s="3" t="s">
        <v>30</v>
      </c>
      <c r="K569">
        <f t="shared" si="16"/>
        <v>2025</v>
      </c>
      <c r="L569" t="str">
        <f t="shared" si="17"/>
        <v>61-70</v>
      </c>
      <c r="M569">
        <f>Table2[[#This Row],[appointment_date]]-Table2[[#This Row],[booking_date]]</f>
        <v>483</v>
      </c>
    </row>
    <row r="570" spans="1:13" x14ac:dyDescent="0.25">
      <c r="A570" s="4">
        <v>1048</v>
      </c>
      <c r="B570" s="3" t="s">
        <v>1552</v>
      </c>
      <c r="C570" s="4">
        <v>47</v>
      </c>
      <c r="D570" s="3" t="s">
        <v>37</v>
      </c>
      <c r="E570" s="5">
        <v>45875</v>
      </c>
      <c r="F570" s="5">
        <v>45859</v>
      </c>
      <c r="G570" s="3" t="s">
        <v>1553</v>
      </c>
      <c r="H570" s="3" t="s">
        <v>24</v>
      </c>
      <c r="I570" s="2">
        <v>174.04</v>
      </c>
      <c r="J570" s="3" t="s">
        <v>35</v>
      </c>
      <c r="K570">
        <f t="shared" si="16"/>
        <v>2025</v>
      </c>
      <c r="L570" t="str">
        <f t="shared" si="17"/>
        <v>41-50</v>
      </c>
      <c r="M570">
        <f>Table2[[#This Row],[appointment_date]]-Table2[[#This Row],[booking_date]]</f>
        <v>16</v>
      </c>
    </row>
    <row r="571" spans="1:13" x14ac:dyDescent="0.25">
      <c r="A571" s="4">
        <v>1080</v>
      </c>
      <c r="B571" s="3" t="s">
        <v>1554</v>
      </c>
      <c r="C571" s="4">
        <v>52</v>
      </c>
      <c r="D571" s="3" t="s">
        <v>68</v>
      </c>
      <c r="E571" s="5">
        <v>45881</v>
      </c>
      <c r="F571" s="5">
        <v>45679</v>
      </c>
      <c r="G571" s="3" t="s">
        <v>1555</v>
      </c>
      <c r="H571" s="3" t="s">
        <v>18</v>
      </c>
      <c r="I571" s="2">
        <v>219.76</v>
      </c>
      <c r="J571" s="3" t="s">
        <v>30</v>
      </c>
      <c r="K571">
        <f t="shared" si="16"/>
        <v>2025</v>
      </c>
      <c r="L571" t="str">
        <f t="shared" si="17"/>
        <v>51-60</v>
      </c>
      <c r="M571">
        <f>Table2[[#This Row],[appointment_date]]-Table2[[#This Row],[booking_date]]</f>
        <v>202</v>
      </c>
    </row>
    <row r="572" spans="1:13" x14ac:dyDescent="0.25">
      <c r="A572" s="4">
        <v>1030</v>
      </c>
      <c r="B572" s="3" t="s">
        <v>1557</v>
      </c>
      <c r="C572" s="4">
        <v>66</v>
      </c>
      <c r="D572" s="3" t="s">
        <v>37</v>
      </c>
      <c r="E572" s="5">
        <v>45953</v>
      </c>
      <c r="F572" s="5">
        <v>45437</v>
      </c>
      <c r="G572" s="3" t="s">
        <v>1558</v>
      </c>
      <c r="H572" s="3" t="s">
        <v>13</v>
      </c>
      <c r="I572" s="2">
        <v>5.39</v>
      </c>
      <c r="J572" s="3" t="s">
        <v>35</v>
      </c>
      <c r="K572">
        <f t="shared" si="16"/>
        <v>2025</v>
      </c>
      <c r="L572" t="str">
        <f t="shared" si="17"/>
        <v>61-70</v>
      </c>
      <c r="M572">
        <f>Table2[[#This Row],[appointment_date]]-Table2[[#This Row],[booking_date]]</f>
        <v>516</v>
      </c>
    </row>
    <row r="573" spans="1:13" x14ac:dyDescent="0.25">
      <c r="A573" s="4">
        <v>1003</v>
      </c>
      <c r="B573" s="3" t="s">
        <v>1560</v>
      </c>
      <c r="C573" s="4">
        <v>48</v>
      </c>
      <c r="D573" s="3" t="s">
        <v>68</v>
      </c>
      <c r="E573" s="5">
        <v>45863</v>
      </c>
      <c r="F573" s="5">
        <v>45671</v>
      </c>
      <c r="G573" s="3" t="s">
        <v>1561</v>
      </c>
      <c r="H573" s="3" t="s">
        <v>18</v>
      </c>
      <c r="I573" s="2">
        <v>91.94</v>
      </c>
      <c r="J573" s="3" t="s">
        <v>30</v>
      </c>
      <c r="K573">
        <f t="shared" si="16"/>
        <v>2025</v>
      </c>
      <c r="L573" t="str">
        <f t="shared" si="17"/>
        <v>41-50</v>
      </c>
      <c r="M573">
        <f>Table2[[#This Row],[appointment_date]]-Table2[[#This Row],[booking_date]]</f>
        <v>192</v>
      </c>
    </row>
    <row r="574" spans="1:13" x14ac:dyDescent="0.25">
      <c r="A574" s="4">
        <v>1047</v>
      </c>
      <c r="B574" s="3" t="s">
        <v>1562</v>
      </c>
      <c r="C574" s="4">
        <v>74</v>
      </c>
      <c r="D574" s="3" t="s">
        <v>37</v>
      </c>
      <c r="E574" s="5">
        <v>45949</v>
      </c>
      <c r="F574" s="5">
        <v>45511</v>
      </c>
      <c r="G574" s="3" t="s">
        <v>1563</v>
      </c>
      <c r="H574" s="3" t="s">
        <v>18</v>
      </c>
      <c r="I574" s="2">
        <v>543</v>
      </c>
      <c r="J574" s="3" t="s">
        <v>35</v>
      </c>
      <c r="K574">
        <f t="shared" si="16"/>
        <v>2025</v>
      </c>
      <c r="L574" t="str">
        <f t="shared" si="17"/>
        <v>71-80</v>
      </c>
      <c r="M574">
        <f>Table2[[#This Row],[appointment_date]]-Table2[[#This Row],[booking_date]]</f>
        <v>438</v>
      </c>
    </row>
    <row r="575" spans="1:13" x14ac:dyDescent="0.25">
      <c r="A575" s="4">
        <v>1075</v>
      </c>
      <c r="B575" s="3" t="s">
        <v>1565</v>
      </c>
      <c r="C575" s="4">
        <v>72</v>
      </c>
      <c r="D575" s="3" t="s">
        <v>68</v>
      </c>
      <c r="E575" s="5">
        <v>45824</v>
      </c>
      <c r="F575" s="5">
        <v>45527</v>
      </c>
      <c r="G575" s="3" t="s">
        <v>1566</v>
      </c>
      <c r="H575" s="3" t="s">
        <v>24</v>
      </c>
      <c r="I575" s="2">
        <v>175.26</v>
      </c>
      <c r="J575" s="3" t="s">
        <v>35</v>
      </c>
      <c r="K575">
        <f t="shared" si="16"/>
        <v>2025</v>
      </c>
      <c r="L575" t="str">
        <f t="shared" si="17"/>
        <v>71-80</v>
      </c>
      <c r="M575">
        <f>Table2[[#This Row],[appointment_date]]-Table2[[#This Row],[booking_date]]</f>
        <v>297</v>
      </c>
    </row>
    <row r="576" spans="1:13" x14ac:dyDescent="0.25">
      <c r="A576" s="4">
        <v>1072</v>
      </c>
      <c r="B576" s="3" t="s">
        <v>1567</v>
      </c>
      <c r="C576" s="4">
        <v>49</v>
      </c>
      <c r="D576" s="3" t="s">
        <v>37</v>
      </c>
      <c r="E576" s="5">
        <v>45760</v>
      </c>
      <c r="F576" s="5">
        <v>45570</v>
      </c>
      <c r="G576" s="3" t="s">
        <v>1568</v>
      </c>
      <c r="H576" s="3" t="s">
        <v>18</v>
      </c>
      <c r="I576" s="2">
        <v>5.33</v>
      </c>
      <c r="J576" s="3" t="s">
        <v>30</v>
      </c>
      <c r="K576">
        <f t="shared" si="16"/>
        <v>2025</v>
      </c>
      <c r="L576" t="str">
        <f t="shared" si="17"/>
        <v>41-50</v>
      </c>
      <c r="M576">
        <f>Table2[[#This Row],[appointment_date]]-Table2[[#This Row],[booking_date]]</f>
        <v>190</v>
      </c>
    </row>
    <row r="577" spans="1:13" x14ac:dyDescent="0.25">
      <c r="A577" s="4">
        <v>1001</v>
      </c>
      <c r="B577" s="3" t="s">
        <v>1570</v>
      </c>
      <c r="C577" s="4">
        <v>33</v>
      </c>
      <c r="D577" s="3" t="s">
        <v>37</v>
      </c>
      <c r="E577" s="5">
        <v>45975</v>
      </c>
      <c r="F577" s="5">
        <v>45906</v>
      </c>
      <c r="G577" s="3" t="s">
        <v>1571</v>
      </c>
      <c r="H577" s="3" t="s">
        <v>24</v>
      </c>
      <c r="I577" s="2">
        <v>381.93</v>
      </c>
      <c r="J577" s="3" t="s">
        <v>30</v>
      </c>
      <c r="K577">
        <f t="shared" si="16"/>
        <v>2025</v>
      </c>
      <c r="L577" t="str">
        <f t="shared" si="17"/>
        <v>31-40</v>
      </c>
      <c r="M577">
        <f>Table2[[#This Row],[appointment_date]]-Table2[[#This Row],[booking_date]]</f>
        <v>69</v>
      </c>
    </row>
    <row r="578" spans="1:13" x14ac:dyDescent="0.25">
      <c r="A578" s="4">
        <v>1009</v>
      </c>
      <c r="B578" s="3" t="s">
        <v>1572</v>
      </c>
      <c r="C578" s="4">
        <v>61</v>
      </c>
      <c r="D578" s="3" t="s">
        <v>68</v>
      </c>
      <c r="E578" s="5">
        <v>46023</v>
      </c>
      <c r="F578" s="5">
        <v>45883</v>
      </c>
      <c r="G578" s="3" t="s">
        <v>1573</v>
      </c>
      <c r="H578" s="3" t="s">
        <v>28</v>
      </c>
      <c r="I578" s="2">
        <v>4.43</v>
      </c>
      <c r="J578" s="3" t="s">
        <v>30</v>
      </c>
      <c r="K578">
        <f t="shared" si="16"/>
        <v>2026</v>
      </c>
      <c r="L578" t="str">
        <f t="shared" si="17"/>
        <v>61-70</v>
      </c>
      <c r="M578">
        <f>Table2[[#This Row],[appointment_date]]-Table2[[#This Row],[booking_date]]</f>
        <v>140</v>
      </c>
    </row>
    <row r="579" spans="1:13" x14ac:dyDescent="0.25">
      <c r="A579" s="4">
        <v>1016</v>
      </c>
      <c r="B579" s="3" t="s">
        <v>1575</v>
      </c>
      <c r="C579" s="4">
        <v>29</v>
      </c>
      <c r="D579" s="3" t="s">
        <v>68</v>
      </c>
      <c r="E579" s="5">
        <v>45971</v>
      </c>
      <c r="F579" s="5">
        <v>45794</v>
      </c>
      <c r="G579" s="3" t="s">
        <v>1576</v>
      </c>
      <c r="H579" s="3" t="s">
        <v>13</v>
      </c>
      <c r="I579" s="2">
        <v>2.66</v>
      </c>
      <c r="J579" s="3" t="s">
        <v>35</v>
      </c>
      <c r="K579">
        <f t="shared" ref="K579:K642" si="18">YEAR(E579)</f>
        <v>2025</v>
      </c>
      <c r="L579" t="str">
        <f t="shared" ref="L579:L642" si="19">IF(C579="","",IF(C579&lt;=30,"18-30",IF(C579&lt;=40,"31-40",IF(C579&lt;=50,"41-50",IF(C579&lt;=60,"51-60",IF(C579&lt;=70,"61-70",IF(C579&lt;=80,"71-80","81-90")))))))</f>
        <v>18-30</v>
      </c>
      <c r="M579">
        <f>Table2[[#This Row],[appointment_date]]-Table2[[#This Row],[booking_date]]</f>
        <v>177</v>
      </c>
    </row>
    <row r="580" spans="1:13" x14ac:dyDescent="0.25">
      <c r="A580" s="4">
        <v>1092</v>
      </c>
      <c r="B580" s="3" t="s">
        <v>1578</v>
      </c>
      <c r="C580" s="4">
        <v>54</v>
      </c>
      <c r="D580" s="3" t="s">
        <v>68</v>
      </c>
      <c r="E580" s="5">
        <v>45870</v>
      </c>
      <c r="F580" s="5">
        <v>45419</v>
      </c>
      <c r="G580" s="3" t="s">
        <v>1579</v>
      </c>
      <c r="H580" s="3" t="s">
        <v>28</v>
      </c>
      <c r="I580" s="2">
        <v>5.14</v>
      </c>
      <c r="J580" s="3" t="s">
        <v>35</v>
      </c>
      <c r="K580">
        <f t="shared" si="18"/>
        <v>2025</v>
      </c>
      <c r="L580" t="str">
        <f t="shared" si="19"/>
        <v>51-60</v>
      </c>
      <c r="M580">
        <f>Table2[[#This Row],[appointment_date]]-Table2[[#This Row],[booking_date]]</f>
        <v>451</v>
      </c>
    </row>
    <row r="581" spans="1:13" x14ac:dyDescent="0.25">
      <c r="A581" s="4">
        <v>1001</v>
      </c>
      <c r="B581" s="3" t="s">
        <v>1581</v>
      </c>
      <c r="C581" s="4">
        <v>70</v>
      </c>
      <c r="D581" s="3" t="s">
        <v>68</v>
      </c>
      <c r="E581" s="5">
        <v>46041</v>
      </c>
      <c r="F581" s="5">
        <v>45674</v>
      </c>
      <c r="G581" s="3" t="s">
        <v>1582</v>
      </c>
      <c r="H581" s="3" t="s">
        <v>28</v>
      </c>
      <c r="I581" s="2">
        <v>197.82</v>
      </c>
      <c r="J581" s="3" t="s">
        <v>35</v>
      </c>
      <c r="K581">
        <f t="shared" si="18"/>
        <v>2026</v>
      </c>
      <c r="L581" t="str">
        <f t="shared" si="19"/>
        <v>61-70</v>
      </c>
      <c r="M581">
        <f>Table2[[#This Row],[appointment_date]]-Table2[[#This Row],[booking_date]]</f>
        <v>367</v>
      </c>
    </row>
    <row r="582" spans="1:13" x14ac:dyDescent="0.25">
      <c r="A582" s="4">
        <v>1063</v>
      </c>
      <c r="B582" s="3" t="s">
        <v>1584</v>
      </c>
      <c r="C582" s="4">
        <v>48</v>
      </c>
      <c r="D582" s="3" t="s">
        <v>68</v>
      </c>
      <c r="E582" s="5">
        <v>45898</v>
      </c>
      <c r="F582" s="5">
        <v>45397</v>
      </c>
      <c r="G582" s="3" t="s">
        <v>1585</v>
      </c>
      <c r="H582" s="3" t="s">
        <v>24</v>
      </c>
      <c r="I582" s="2">
        <v>145.93</v>
      </c>
      <c r="J582" s="3" t="s">
        <v>30</v>
      </c>
      <c r="K582">
        <f t="shared" si="18"/>
        <v>2025</v>
      </c>
      <c r="L582" t="str">
        <f t="shared" si="19"/>
        <v>41-50</v>
      </c>
      <c r="M582">
        <f>Table2[[#This Row],[appointment_date]]-Table2[[#This Row],[booking_date]]</f>
        <v>501</v>
      </c>
    </row>
    <row r="583" spans="1:13" x14ac:dyDescent="0.25">
      <c r="A583" s="4">
        <v>1061</v>
      </c>
      <c r="B583" s="3" t="s">
        <v>1587</v>
      </c>
      <c r="C583" s="4">
        <v>67</v>
      </c>
      <c r="D583" s="3" t="s">
        <v>68</v>
      </c>
      <c r="E583" s="5">
        <v>45977</v>
      </c>
      <c r="F583" s="5">
        <v>45657</v>
      </c>
      <c r="G583" s="3" t="s">
        <v>1588</v>
      </c>
      <c r="H583" s="3" t="s">
        <v>28</v>
      </c>
      <c r="I583" s="2">
        <v>635.11</v>
      </c>
      <c r="J583" s="3" t="s">
        <v>35</v>
      </c>
      <c r="K583">
        <f t="shared" si="18"/>
        <v>2025</v>
      </c>
      <c r="L583" t="str">
        <f t="shared" si="19"/>
        <v>61-70</v>
      </c>
      <c r="M583">
        <f>Table2[[#This Row],[appointment_date]]-Table2[[#This Row],[booking_date]]</f>
        <v>320</v>
      </c>
    </row>
    <row r="584" spans="1:13" x14ac:dyDescent="0.25">
      <c r="A584" s="4">
        <v>1036</v>
      </c>
      <c r="B584" s="3" t="s">
        <v>1590</v>
      </c>
      <c r="C584" s="4">
        <v>41</v>
      </c>
      <c r="D584" s="3" t="s">
        <v>68</v>
      </c>
      <c r="E584" s="5">
        <v>45837</v>
      </c>
      <c r="F584" s="5">
        <v>45556</v>
      </c>
      <c r="G584" s="3" t="s">
        <v>1591</v>
      </c>
      <c r="H584" s="3" t="s">
        <v>13</v>
      </c>
      <c r="I584" s="2">
        <v>321.12</v>
      </c>
      <c r="J584" s="3" t="s">
        <v>30</v>
      </c>
      <c r="K584">
        <f t="shared" si="18"/>
        <v>2025</v>
      </c>
      <c r="L584" t="str">
        <f t="shared" si="19"/>
        <v>41-50</v>
      </c>
      <c r="M584">
        <f>Table2[[#This Row],[appointment_date]]-Table2[[#This Row],[booking_date]]</f>
        <v>281</v>
      </c>
    </row>
    <row r="585" spans="1:13" x14ac:dyDescent="0.25">
      <c r="A585" s="4">
        <v>1015</v>
      </c>
      <c r="B585" s="3" t="s">
        <v>1593</v>
      </c>
      <c r="C585" s="4">
        <v>87</v>
      </c>
      <c r="D585" s="3"/>
      <c r="E585" s="5">
        <v>45787</v>
      </c>
      <c r="F585" s="5">
        <v>45694</v>
      </c>
      <c r="G585" s="3" t="s">
        <v>1594</v>
      </c>
      <c r="H585" s="3" t="s">
        <v>13</v>
      </c>
      <c r="I585" s="2">
        <v>421.46</v>
      </c>
      <c r="J585" s="3" t="s">
        <v>35</v>
      </c>
      <c r="K585">
        <f t="shared" si="18"/>
        <v>2025</v>
      </c>
      <c r="L585" t="str">
        <f t="shared" si="19"/>
        <v>81-90</v>
      </c>
      <c r="M585">
        <f>Table2[[#This Row],[appointment_date]]-Table2[[#This Row],[booking_date]]</f>
        <v>93</v>
      </c>
    </row>
    <row r="586" spans="1:13" x14ac:dyDescent="0.25">
      <c r="A586" s="4">
        <v>1069</v>
      </c>
      <c r="B586" s="3" t="s">
        <v>1596</v>
      </c>
      <c r="C586" s="4">
        <v>40</v>
      </c>
      <c r="D586" s="3" t="s">
        <v>37</v>
      </c>
      <c r="E586" s="5">
        <v>46000</v>
      </c>
      <c r="F586" s="5">
        <v>45941</v>
      </c>
      <c r="G586" s="3" t="s">
        <v>1597</v>
      </c>
      <c r="H586" s="3" t="s">
        <v>28</v>
      </c>
      <c r="I586" s="2">
        <v>298.75</v>
      </c>
      <c r="J586" s="3" t="s">
        <v>35</v>
      </c>
      <c r="K586">
        <f t="shared" si="18"/>
        <v>2025</v>
      </c>
      <c r="L586" t="str">
        <f t="shared" si="19"/>
        <v>31-40</v>
      </c>
      <c r="M586">
        <f>Table2[[#This Row],[appointment_date]]-Table2[[#This Row],[booking_date]]</f>
        <v>59</v>
      </c>
    </row>
    <row r="587" spans="1:13" x14ac:dyDescent="0.25">
      <c r="A587" s="4">
        <v>1029</v>
      </c>
      <c r="B587" s="3" t="s">
        <v>1599</v>
      </c>
      <c r="C587" s="4">
        <v>55</v>
      </c>
      <c r="D587" s="3" t="s">
        <v>68</v>
      </c>
      <c r="E587" s="5">
        <v>45945</v>
      </c>
      <c r="F587" s="5">
        <v>45805</v>
      </c>
      <c r="G587" s="3" t="s">
        <v>1600</v>
      </c>
      <c r="H587" s="3" t="s">
        <v>18</v>
      </c>
      <c r="I587" s="2">
        <v>232.87</v>
      </c>
      <c r="J587" s="3" t="s">
        <v>30</v>
      </c>
      <c r="K587">
        <f t="shared" si="18"/>
        <v>2025</v>
      </c>
      <c r="L587" t="str">
        <f t="shared" si="19"/>
        <v>51-60</v>
      </c>
      <c r="M587">
        <f>Table2[[#This Row],[appointment_date]]-Table2[[#This Row],[booking_date]]</f>
        <v>140</v>
      </c>
    </row>
    <row r="588" spans="1:13" x14ac:dyDescent="0.25">
      <c r="A588" s="4">
        <v>1037</v>
      </c>
      <c r="B588" s="3" t="s">
        <v>1602</v>
      </c>
      <c r="C588" s="4">
        <v>90</v>
      </c>
      <c r="D588" s="3" t="s">
        <v>68</v>
      </c>
      <c r="E588" s="5">
        <v>45999</v>
      </c>
      <c r="F588" s="5">
        <v>45510</v>
      </c>
      <c r="G588" s="3" t="s">
        <v>1603</v>
      </c>
      <c r="H588" s="3" t="s">
        <v>13</v>
      </c>
      <c r="I588" s="2">
        <v>1.06</v>
      </c>
      <c r="J588" s="3" t="s">
        <v>30</v>
      </c>
      <c r="K588">
        <f t="shared" si="18"/>
        <v>2025</v>
      </c>
      <c r="L588" t="str">
        <f t="shared" si="19"/>
        <v>81-90</v>
      </c>
      <c r="M588">
        <f>Table2[[#This Row],[appointment_date]]-Table2[[#This Row],[booking_date]]</f>
        <v>489</v>
      </c>
    </row>
    <row r="589" spans="1:13" x14ac:dyDescent="0.25">
      <c r="A589" s="4">
        <v>1071</v>
      </c>
      <c r="B589" s="3" t="s">
        <v>1605</v>
      </c>
      <c r="C589" s="4">
        <v>25</v>
      </c>
      <c r="D589" s="3" t="s">
        <v>37</v>
      </c>
      <c r="E589" s="5">
        <v>46077</v>
      </c>
      <c r="F589" s="5">
        <v>45982</v>
      </c>
      <c r="G589" s="3" t="s">
        <v>1606</v>
      </c>
      <c r="H589" s="3" t="s">
        <v>28</v>
      </c>
      <c r="I589" s="2">
        <v>4.87</v>
      </c>
      <c r="J589" s="3" t="s">
        <v>30</v>
      </c>
      <c r="K589">
        <f t="shared" si="18"/>
        <v>2026</v>
      </c>
      <c r="L589" t="str">
        <f t="shared" si="19"/>
        <v>18-30</v>
      </c>
      <c r="M589">
        <f>Table2[[#This Row],[appointment_date]]-Table2[[#This Row],[booking_date]]</f>
        <v>95</v>
      </c>
    </row>
    <row r="590" spans="1:13" x14ac:dyDescent="0.25">
      <c r="A590" s="4">
        <v>1023</v>
      </c>
      <c r="B590" s="3" t="s">
        <v>1608</v>
      </c>
      <c r="C590" s="4">
        <v>46</v>
      </c>
      <c r="D590" s="3" t="s">
        <v>37</v>
      </c>
      <c r="E590" s="5">
        <v>46060</v>
      </c>
      <c r="F590" s="5">
        <v>45645</v>
      </c>
      <c r="G590" s="3" t="s">
        <v>1609</v>
      </c>
      <c r="H590" s="3" t="s">
        <v>24</v>
      </c>
      <c r="I590" s="2">
        <v>351.94</v>
      </c>
      <c r="J590" s="3" t="s">
        <v>35</v>
      </c>
      <c r="K590">
        <f t="shared" si="18"/>
        <v>2026</v>
      </c>
      <c r="L590" t="str">
        <f t="shared" si="19"/>
        <v>41-50</v>
      </c>
      <c r="M590">
        <f>Table2[[#This Row],[appointment_date]]-Table2[[#This Row],[booking_date]]</f>
        <v>415</v>
      </c>
    </row>
    <row r="591" spans="1:13" x14ac:dyDescent="0.25">
      <c r="A591" s="4">
        <v>1074</v>
      </c>
      <c r="B591" s="3" t="s">
        <v>1610</v>
      </c>
      <c r="C591" s="4">
        <v>75</v>
      </c>
      <c r="D591" s="3" t="s">
        <v>68</v>
      </c>
      <c r="E591" s="5">
        <v>45884</v>
      </c>
      <c r="F591" s="5">
        <v>45459</v>
      </c>
      <c r="G591" s="3" t="s">
        <v>1611</v>
      </c>
      <c r="H591" s="3" t="s">
        <v>24</v>
      </c>
      <c r="I591" s="2">
        <v>59.55</v>
      </c>
      <c r="J591" s="3" t="s">
        <v>35</v>
      </c>
      <c r="K591">
        <f t="shared" si="18"/>
        <v>2025</v>
      </c>
      <c r="L591" t="str">
        <f t="shared" si="19"/>
        <v>71-80</v>
      </c>
      <c r="M591">
        <f>Table2[[#This Row],[appointment_date]]-Table2[[#This Row],[booking_date]]</f>
        <v>425</v>
      </c>
    </row>
    <row r="592" spans="1:13" x14ac:dyDescent="0.25">
      <c r="A592" s="4">
        <v>1039</v>
      </c>
      <c r="B592" s="3" t="s">
        <v>1612</v>
      </c>
      <c r="C592" s="4">
        <v>68</v>
      </c>
      <c r="D592" s="3" t="s">
        <v>68</v>
      </c>
      <c r="E592" s="5">
        <v>45779</v>
      </c>
      <c r="F592" s="5">
        <v>45703</v>
      </c>
      <c r="G592" s="3" t="s">
        <v>1464</v>
      </c>
      <c r="H592" s="3" t="s">
        <v>18</v>
      </c>
      <c r="I592" s="2">
        <v>451.63</v>
      </c>
      <c r="J592" s="3" t="s">
        <v>30</v>
      </c>
      <c r="K592">
        <f t="shared" si="18"/>
        <v>2025</v>
      </c>
      <c r="L592" t="str">
        <f t="shared" si="19"/>
        <v>61-70</v>
      </c>
      <c r="M592">
        <f>Table2[[#This Row],[appointment_date]]-Table2[[#This Row],[booking_date]]</f>
        <v>76</v>
      </c>
    </row>
    <row r="593" spans="1:13" x14ac:dyDescent="0.25">
      <c r="A593" s="4">
        <v>1071</v>
      </c>
      <c r="B593" s="3" t="s">
        <v>1614</v>
      </c>
      <c r="C593" s="4">
        <v>88</v>
      </c>
      <c r="D593" s="3" t="s">
        <v>68</v>
      </c>
      <c r="E593" s="5">
        <v>45996</v>
      </c>
      <c r="F593" s="5">
        <v>45506</v>
      </c>
      <c r="G593" s="3" t="s">
        <v>1615</v>
      </c>
      <c r="H593" s="3" t="s">
        <v>24</v>
      </c>
      <c r="I593" s="2">
        <v>3.79</v>
      </c>
      <c r="J593" s="3" t="s">
        <v>35</v>
      </c>
      <c r="K593">
        <f t="shared" si="18"/>
        <v>2025</v>
      </c>
      <c r="L593" t="str">
        <f t="shared" si="19"/>
        <v>81-90</v>
      </c>
      <c r="M593">
        <f>Table2[[#This Row],[appointment_date]]-Table2[[#This Row],[booking_date]]</f>
        <v>490</v>
      </c>
    </row>
    <row r="594" spans="1:13" x14ac:dyDescent="0.25">
      <c r="A594" s="4">
        <v>1039</v>
      </c>
      <c r="B594" s="3" t="s">
        <v>1617</v>
      </c>
      <c r="C594" s="4">
        <v>47</v>
      </c>
      <c r="D594" s="3" t="s">
        <v>37</v>
      </c>
      <c r="E594" s="5">
        <v>45827</v>
      </c>
      <c r="F594" s="5">
        <v>45419</v>
      </c>
      <c r="G594" s="3" t="s">
        <v>1618</v>
      </c>
      <c r="H594" s="3" t="s">
        <v>18</v>
      </c>
      <c r="I594" s="2">
        <v>197.72</v>
      </c>
      <c r="J594" s="3" t="s">
        <v>35</v>
      </c>
      <c r="K594">
        <f t="shared" si="18"/>
        <v>2025</v>
      </c>
      <c r="L594" t="str">
        <f t="shared" si="19"/>
        <v>41-50</v>
      </c>
      <c r="M594">
        <f>Table2[[#This Row],[appointment_date]]-Table2[[#This Row],[booking_date]]</f>
        <v>408</v>
      </c>
    </row>
    <row r="595" spans="1:13" x14ac:dyDescent="0.25">
      <c r="A595" s="4">
        <v>1082</v>
      </c>
      <c r="B595" s="3" t="s">
        <v>1619</v>
      </c>
      <c r="C595" s="4">
        <v>57</v>
      </c>
      <c r="D595" s="3" t="s">
        <v>37</v>
      </c>
      <c r="E595" s="5">
        <v>45965</v>
      </c>
      <c r="F595" s="5">
        <v>45737</v>
      </c>
      <c r="G595" s="3" t="s">
        <v>1620</v>
      </c>
      <c r="H595" s="3" t="s">
        <v>13</v>
      </c>
      <c r="I595" s="2">
        <v>269.56</v>
      </c>
      <c r="J595" s="3" t="s">
        <v>30</v>
      </c>
      <c r="K595">
        <f t="shared" si="18"/>
        <v>2025</v>
      </c>
      <c r="L595" t="str">
        <f t="shared" si="19"/>
        <v>51-60</v>
      </c>
      <c r="M595">
        <f>Table2[[#This Row],[appointment_date]]-Table2[[#This Row],[booking_date]]</f>
        <v>228</v>
      </c>
    </row>
    <row r="596" spans="1:13" x14ac:dyDescent="0.25">
      <c r="A596" s="4">
        <v>1084</v>
      </c>
      <c r="B596" s="3" t="s">
        <v>1622</v>
      </c>
      <c r="C596" s="4">
        <v>71</v>
      </c>
      <c r="D596" s="3" t="s">
        <v>68</v>
      </c>
      <c r="E596" s="5">
        <v>45767</v>
      </c>
      <c r="F596" s="5">
        <v>45504</v>
      </c>
      <c r="G596" s="3" t="s">
        <v>1623</v>
      </c>
      <c r="H596" s="3" t="s">
        <v>13</v>
      </c>
      <c r="I596" s="2">
        <v>95.4</v>
      </c>
      <c r="J596" s="3" t="s">
        <v>30</v>
      </c>
      <c r="K596">
        <f t="shared" si="18"/>
        <v>2025</v>
      </c>
      <c r="L596" t="str">
        <f t="shared" si="19"/>
        <v>71-80</v>
      </c>
      <c r="M596">
        <f>Table2[[#This Row],[appointment_date]]-Table2[[#This Row],[booking_date]]</f>
        <v>263</v>
      </c>
    </row>
    <row r="597" spans="1:13" x14ac:dyDescent="0.25">
      <c r="A597" s="4">
        <v>1089</v>
      </c>
      <c r="B597" s="3" t="s">
        <v>1624</v>
      </c>
      <c r="C597" s="4">
        <v>68</v>
      </c>
      <c r="D597" s="3" t="s">
        <v>37</v>
      </c>
      <c r="E597" s="5">
        <v>45750</v>
      </c>
      <c r="F597" s="5">
        <v>45510</v>
      </c>
      <c r="G597" s="3" t="s">
        <v>1625</v>
      </c>
      <c r="H597" s="3" t="s">
        <v>18</v>
      </c>
      <c r="I597" s="2">
        <v>275.33999999999997</v>
      </c>
      <c r="J597" s="3" t="s">
        <v>30</v>
      </c>
      <c r="K597">
        <f t="shared" si="18"/>
        <v>2025</v>
      </c>
      <c r="L597" t="str">
        <f t="shared" si="19"/>
        <v>61-70</v>
      </c>
      <c r="M597">
        <f>Table2[[#This Row],[appointment_date]]-Table2[[#This Row],[booking_date]]</f>
        <v>240</v>
      </c>
    </row>
    <row r="598" spans="1:13" x14ac:dyDescent="0.25">
      <c r="A598" s="4">
        <v>1031</v>
      </c>
      <c r="B598" s="3" t="s">
        <v>639</v>
      </c>
      <c r="C598" s="4">
        <v>44</v>
      </c>
      <c r="D598" s="3" t="s">
        <v>68</v>
      </c>
      <c r="E598" s="5">
        <v>46041</v>
      </c>
      <c r="F598" s="5">
        <v>45457</v>
      </c>
      <c r="G598" s="3" t="s">
        <v>1627</v>
      </c>
      <c r="H598" s="3" t="s">
        <v>18</v>
      </c>
      <c r="I598" s="2">
        <v>318.82</v>
      </c>
      <c r="J598" s="3" t="s">
        <v>30</v>
      </c>
      <c r="K598">
        <f t="shared" si="18"/>
        <v>2026</v>
      </c>
      <c r="L598" t="str">
        <f t="shared" si="19"/>
        <v>41-50</v>
      </c>
      <c r="M598">
        <f>Table2[[#This Row],[appointment_date]]-Table2[[#This Row],[booking_date]]</f>
        <v>584</v>
      </c>
    </row>
    <row r="599" spans="1:13" x14ac:dyDescent="0.25">
      <c r="A599" s="4">
        <v>1053</v>
      </c>
      <c r="B599" s="3" t="s">
        <v>1629</v>
      </c>
      <c r="C599" s="4">
        <v>70</v>
      </c>
      <c r="D599" s="3" t="s">
        <v>68</v>
      </c>
      <c r="E599" s="5">
        <v>46012</v>
      </c>
      <c r="F599" s="5">
        <v>45876</v>
      </c>
      <c r="G599" s="3" t="s">
        <v>1630</v>
      </c>
      <c r="H599" s="3" t="s">
        <v>24</v>
      </c>
      <c r="I599" s="2">
        <v>4.28</v>
      </c>
      <c r="J599" s="3" t="s">
        <v>30</v>
      </c>
      <c r="K599">
        <f t="shared" si="18"/>
        <v>2025</v>
      </c>
      <c r="L599" t="str">
        <f t="shared" si="19"/>
        <v>61-70</v>
      </c>
      <c r="M599">
        <f>Table2[[#This Row],[appointment_date]]-Table2[[#This Row],[booking_date]]</f>
        <v>136</v>
      </c>
    </row>
    <row r="600" spans="1:13" x14ac:dyDescent="0.25">
      <c r="A600" s="4">
        <v>1048</v>
      </c>
      <c r="B600" s="3" t="s">
        <v>1632</v>
      </c>
      <c r="C600" s="4">
        <v>67</v>
      </c>
      <c r="D600" s="3" t="s">
        <v>68</v>
      </c>
      <c r="E600" s="5">
        <v>45841</v>
      </c>
      <c r="F600" s="5">
        <v>45503</v>
      </c>
      <c r="G600" s="3" t="s">
        <v>1633</v>
      </c>
      <c r="H600" s="3" t="s">
        <v>24</v>
      </c>
      <c r="I600" s="2" t="s">
        <v>2693</v>
      </c>
      <c r="J600" s="3" t="s">
        <v>35</v>
      </c>
      <c r="K600">
        <f t="shared" si="18"/>
        <v>2025</v>
      </c>
      <c r="L600" t="str">
        <f t="shared" si="19"/>
        <v>61-70</v>
      </c>
      <c r="M600">
        <f>Table2[[#This Row],[appointment_date]]-Table2[[#This Row],[booking_date]]</f>
        <v>338</v>
      </c>
    </row>
    <row r="601" spans="1:13" x14ac:dyDescent="0.25">
      <c r="A601" s="4">
        <v>1075</v>
      </c>
      <c r="B601" s="3" t="s">
        <v>1634</v>
      </c>
      <c r="C601" s="4">
        <v>67</v>
      </c>
      <c r="D601" s="3" t="s">
        <v>37</v>
      </c>
      <c r="E601" s="5">
        <v>45820</v>
      </c>
      <c r="F601" s="5">
        <v>45795</v>
      </c>
      <c r="G601" s="3" t="s">
        <v>1635</v>
      </c>
      <c r="H601" s="3" t="s">
        <v>24</v>
      </c>
      <c r="I601" s="2">
        <v>161.5</v>
      </c>
      <c r="J601" s="3" t="s">
        <v>30</v>
      </c>
      <c r="K601">
        <f t="shared" si="18"/>
        <v>2025</v>
      </c>
      <c r="L601" t="str">
        <f t="shared" si="19"/>
        <v>61-70</v>
      </c>
      <c r="M601">
        <f>Table2[[#This Row],[appointment_date]]-Table2[[#This Row],[booking_date]]</f>
        <v>25</v>
      </c>
    </row>
    <row r="602" spans="1:13" x14ac:dyDescent="0.25">
      <c r="A602" s="4">
        <v>1033</v>
      </c>
      <c r="B602" s="3" t="s">
        <v>1636</v>
      </c>
      <c r="C602" s="4">
        <v>38</v>
      </c>
      <c r="D602" s="3" t="s">
        <v>37</v>
      </c>
      <c r="E602" s="5">
        <v>45796</v>
      </c>
      <c r="F602" s="5">
        <v>45493</v>
      </c>
      <c r="G602" s="3" t="s">
        <v>1637</v>
      </c>
      <c r="H602" s="3" t="s">
        <v>18</v>
      </c>
      <c r="I602" s="2">
        <v>90.92</v>
      </c>
      <c r="J602" s="3" t="s">
        <v>30</v>
      </c>
      <c r="K602">
        <f t="shared" si="18"/>
        <v>2025</v>
      </c>
      <c r="L602" t="str">
        <f t="shared" si="19"/>
        <v>31-40</v>
      </c>
      <c r="M602">
        <f>Table2[[#This Row],[appointment_date]]-Table2[[#This Row],[booking_date]]</f>
        <v>303</v>
      </c>
    </row>
    <row r="603" spans="1:13" x14ac:dyDescent="0.25">
      <c r="A603" s="4">
        <v>1054</v>
      </c>
      <c r="B603" s="3" t="s">
        <v>1639</v>
      </c>
      <c r="C603" s="4">
        <v>82</v>
      </c>
      <c r="D603" s="3" t="s">
        <v>68</v>
      </c>
      <c r="E603" s="5">
        <v>45824</v>
      </c>
      <c r="F603" s="5">
        <v>45383</v>
      </c>
      <c r="G603" s="3" t="s">
        <v>1640</v>
      </c>
      <c r="H603" s="3" t="s">
        <v>28</v>
      </c>
      <c r="I603" s="2">
        <v>441.76</v>
      </c>
      <c r="J603" s="3" t="s">
        <v>35</v>
      </c>
      <c r="K603">
        <f t="shared" si="18"/>
        <v>2025</v>
      </c>
      <c r="L603" t="str">
        <f t="shared" si="19"/>
        <v>81-90</v>
      </c>
      <c r="M603">
        <f>Table2[[#This Row],[appointment_date]]-Table2[[#This Row],[booking_date]]</f>
        <v>441</v>
      </c>
    </row>
    <row r="604" spans="1:13" x14ac:dyDescent="0.25">
      <c r="A604" s="4">
        <v>1020</v>
      </c>
      <c r="B604" s="3" t="s">
        <v>1642</v>
      </c>
      <c r="C604" s="4">
        <v>53</v>
      </c>
      <c r="D604" s="3" t="s">
        <v>68</v>
      </c>
      <c r="E604" s="5">
        <v>45862</v>
      </c>
      <c r="F604" s="5">
        <v>45691</v>
      </c>
      <c r="G604" s="3" t="s">
        <v>1643</v>
      </c>
      <c r="H604" s="3" t="s">
        <v>24</v>
      </c>
      <c r="I604" s="2">
        <v>391.21</v>
      </c>
      <c r="J604" s="3" t="s">
        <v>35</v>
      </c>
      <c r="K604">
        <f t="shared" si="18"/>
        <v>2025</v>
      </c>
      <c r="L604" t="str">
        <f t="shared" si="19"/>
        <v>51-60</v>
      </c>
      <c r="M604">
        <f>Table2[[#This Row],[appointment_date]]-Table2[[#This Row],[booking_date]]</f>
        <v>171</v>
      </c>
    </row>
    <row r="605" spans="1:13" x14ac:dyDescent="0.25">
      <c r="A605" s="4">
        <v>1006</v>
      </c>
      <c r="B605" s="3" t="s">
        <v>1645</v>
      </c>
      <c r="C605" s="4">
        <v>33</v>
      </c>
      <c r="D605" s="3" t="s">
        <v>37</v>
      </c>
      <c r="E605" s="5">
        <v>45780</v>
      </c>
      <c r="F605" s="5">
        <v>45619</v>
      </c>
      <c r="G605" s="3" t="s">
        <v>1646</v>
      </c>
      <c r="H605" s="3" t="s">
        <v>18</v>
      </c>
      <c r="I605" s="2">
        <v>226.84</v>
      </c>
      <c r="J605" s="3" t="s">
        <v>30</v>
      </c>
      <c r="K605">
        <f t="shared" si="18"/>
        <v>2025</v>
      </c>
      <c r="L605" t="str">
        <f t="shared" si="19"/>
        <v>31-40</v>
      </c>
      <c r="M605">
        <f>Table2[[#This Row],[appointment_date]]-Table2[[#This Row],[booking_date]]</f>
        <v>161</v>
      </c>
    </row>
    <row r="606" spans="1:13" x14ac:dyDescent="0.25">
      <c r="A606" s="4">
        <v>1100</v>
      </c>
      <c r="B606" s="3" t="s">
        <v>1648</v>
      </c>
      <c r="C606" s="4">
        <v>60</v>
      </c>
      <c r="D606" s="3" t="s">
        <v>68</v>
      </c>
      <c r="E606" s="5">
        <v>46068</v>
      </c>
      <c r="F606" s="5">
        <v>45396</v>
      </c>
      <c r="G606" s="3" t="s">
        <v>1649</v>
      </c>
      <c r="H606" s="3" t="s">
        <v>24</v>
      </c>
      <c r="I606" s="2">
        <v>5.01</v>
      </c>
      <c r="J606" s="3" t="s">
        <v>35</v>
      </c>
      <c r="K606">
        <f t="shared" si="18"/>
        <v>2026</v>
      </c>
      <c r="L606" t="str">
        <f t="shared" si="19"/>
        <v>51-60</v>
      </c>
      <c r="M606">
        <f>Table2[[#This Row],[appointment_date]]-Table2[[#This Row],[booking_date]]</f>
        <v>672</v>
      </c>
    </row>
    <row r="607" spans="1:13" x14ac:dyDescent="0.25">
      <c r="A607" s="4">
        <v>1061</v>
      </c>
      <c r="B607" s="3" t="s">
        <v>1651</v>
      </c>
      <c r="C607" s="4">
        <v>65</v>
      </c>
      <c r="D607" s="3" t="s">
        <v>68</v>
      </c>
      <c r="E607" s="5">
        <v>45970</v>
      </c>
      <c r="F607" s="5">
        <v>45612</v>
      </c>
      <c r="G607" s="3" t="s">
        <v>1652</v>
      </c>
      <c r="H607" s="3" t="s">
        <v>24</v>
      </c>
      <c r="I607" s="2">
        <v>503.51</v>
      </c>
      <c r="J607" s="3" t="s">
        <v>30</v>
      </c>
      <c r="K607">
        <f t="shared" si="18"/>
        <v>2025</v>
      </c>
      <c r="L607" t="str">
        <f t="shared" si="19"/>
        <v>61-70</v>
      </c>
      <c r="M607">
        <f>Table2[[#This Row],[appointment_date]]-Table2[[#This Row],[booking_date]]</f>
        <v>358</v>
      </c>
    </row>
    <row r="608" spans="1:13" x14ac:dyDescent="0.25">
      <c r="A608" s="4">
        <v>1040</v>
      </c>
      <c r="B608" s="3" t="s">
        <v>1455</v>
      </c>
      <c r="C608" s="4">
        <v>49</v>
      </c>
      <c r="D608" s="3" t="s">
        <v>37</v>
      </c>
      <c r="E608" s="5">
        <v>45829</v>
      </c>
      <c r="F608" s="5">
        <v>45573</v>
      </c>
      <c r="G608" s="3" t="s">
        <v>1654</v>
      </c>
      <c r="H608" s="3" t="s">
        <v>28</v>
      </c>
      <c r="I608" s="2">
        <v>146.88999999999999</v>
      </c>
      <c r="J608" s="3" t="s">
        <v>30</v>
      </c>
      <c r="K608">
        <f t="shared" si="18"/>
        <v>2025</v>
      </c>
      <c r="L608" t="str">
        <f t="shared" si="19"/>
        <v>41-50</v>
      </c>
      <c r="M608">
        <f>Table2[[#This Row],[appointment_date]]-Table2[[#This Row],[booking_date]]</f>
        <v>256</v>
      </c>
    </row>
    <row r="609" spans="1:13" x14ac:dyDescent="0.25">
      <c r="A609" s="4">
        <v>1010</v>
      </c>
      <c r="B609" s="3" t="s">
        <v>1656</v>
      </c>
      <c r="C609" s="4">
        <v>23</v>
      </c>
      <c r="D609" s="3" t="s">
        <v>37</v>
      </c>
      <c r="E609" s="5">
        <v>45759</v>
      </c>
      <c r="F609" s="5">
        <v>45548</v>
      </c>
      <c r="G609" s="3" t="s">
        <v>1657</v>
      </c>
      <c r="H609" s="3" t="s">
        <v>13</v>
      </c>
      <c r="I609" s="2">
        <v>364.58</v>
      </c>
      <c r="J609" s="3" t="s">
        <v>30</v>
      </c>
      <c r="K609">
        <f t="shared" si="18"/>
        <v>2025</v>
      </c>
      <c r="L609" t="str">
        <f t="shared" si="19"/>
        <v>18-30</v>
      </c>
      <c r="M609">
        <f>Table2[[#This Row],[appointment_date]]-Table2[[#This Row],[booking_date]]</f>
        <v>211</v>
      </c>
    </row>
    <row r="610" spans="1:13" x14ac:dyDescent="0.25">
      <c r="A610" s="4">
        <v>1030</v>
      </c>
      <c r="B610" s="3" t="s">
        <v>1659</v>
      </c>
      <c r="C610" s="4">
        <v>69</v>
      </c>
      <c r="D610" s="3" t="s">
        <v>68</v>
      </c>
      <c r="E610" s="5">
        <v>46024</v>
      </c>
      <c r="F610" s="5">
        <v>45558</v>
      </c>
      <c r="G610" s="3" t="s">
        <v>1660</v>
      </c>
      <c r="H610" s="3" t="s">
        <v>24</v>
      </c>
      <c r="I610" s="2">
        <v>2.4700000000000002</v>
      </c>
      <c r="J610" s="3" t="s">
        <v>35</v>
      </c>
      <c r="K610">
        <f t="shared" si="18"/>
        <v>2026</v>
      </c>
      <c r="L610" t="str">
        <f t="shared" si="19"/>
        <v>61-70</v>
      </c>
      <c r="M610">
        <f>Table2[[#This Row],[appointment_date]]-Table2[[#This Row],[booking_date]]</f>
        <v>466</v>
      </c>
    </row>
    <row r="611" spans="1:13" x14ac:dyDescent="0.25">
      <c r="A611" s="4">
        <v>1093</v>
      </c>
      <c r="B611" s="3" t="s">
        <v>1662</v>
      </c>
      <c r="C611" s="4">
        <v>72</v>
      </c>
      <c r="D611" s="3" t="s">
        <v>68</v>
      </c>
      <c r="E611" s="5">
        <v>45828</v>
      </c>
      <c r="F611" s="5">
        <v>45553</v>
      </c>
      <c r="G611" s="3" t="s">
        <v>1663</v>
      </c>
      <c r="H611" s="3" t="s">
        <v>28</v>
      </c>
      <c r="I611" s="2">
        <v>194.55</v>
      </c>
      <c r="J611" s="3" t="s">
        <v>35</v>
      </c>
      <c r="K611">
        <f t="shared" si="18"/>
        <v>2025</v>
      </c>
      <c r="L611" t="str">
        <f t="shared" si="19"/>
        <v>71-80</v>
      </c>
      <c r="M611">
        <f>Table2[[#This Row],[appointment_date]]-Table2[[#This Row],[booking_date]]</f>
        <v>275</v>
      </c>
    </row>
    <row r="612" spans="1:13" x14ac:dyDescent="0.25">
      <c r="A612" s="4">
        <v>1008</v>
      </c>
      <c r="B612" s="3" t="s">
        <v>1664</v>
      </c>
      <c r="C612" s="4">
        <v>82</v>
      </c>
      <c r="D612" s="3" t="s">
        <v>68</v>
      </c>
      <c r="E612" s="5">
        <v>46084</v>
      </c>
      <c r="F612" s="5">
        <v>45599</v>
      </c>
      <c r="G612" s="3" t="s">
        <v>1665</v>
      </c>
      <c r="H612" s="3" t="s">
        <v>13</v>
      </c>
      <c r="I612" s="2">
        <v>232.1</v>
      </c>
      <c r="J612" s="3" t="s">
        <v>30</v>
      </c>
      <c r="K612">
        <f t="shared" si="18"/>
        <v>2026</v>
      </c>
      <c r="L612" t="str">
        <f t="shared" si="19"/>
        <v>81-90</v>
      </c>
      <c r="M612">
        <f>Table2[[#This Row],[appointment_date]]-Table2[[#This Row],[booking_date]]</f>
        <v>485</v>
      </c>
    </row>
    <row r="613" spans="1:13" x14ac:dyDescent="0.25">
      <c r="A613" s="4">
        <v>1087</v>
      </c>
      <c r="B613" s="3" t="s">
        <v>1667</v>
      </c>
      <c r="C613" s="4">
        <v>69</v>
      </c>
      <c r="D613" s="3" t="s">
        <v>37</v>
      </c>
      <c r="E613" s="5">
        <v>45932</v>
      </c>
      <c r="F613" s="5">
        <v>45711</v>
      </c>
      <c r="G613" s="3" t="s">
        <v>1668</v>
      </c>
      <c r="H613" s="3" t="s">
        <v>13</v>
      </c>
      <c r="I613" s="2">
        <v>520.76</v>
      </c>
      <c r="J613" s="3" t="s">
        <v>35</v>
      </c>
      <c r="K613">
        <f t="shared" si="18"/>
        <v>2025</v>
      </c>
      <c r="L613" t="str">
        <f t="shared" si="19"/>
        <v>61-70</v>
      </c>
      <c r="M613">
        <f>Table2[[#This Row],[appointment_date]]-Table2[[#This Row],[booking_date]]</f>
        <v>221</v>
      </c>
    </row>
    <row r="614" spans="1:13" x14ac:dyDescent="0.25">
      <c r="A614" s="4">
        <v>1008</v>
      </c>
      <c r="B614" s="3" t="s">
        <v>1670</v>
      </c>
      <c r="C614" s="4">
        <v>30</v>
      </c>
      <c r="D614" s="3" t="s">
        <v>68</v>
      </c>
      <c r="E614" s="5">
        <v>46074</v>
      </c>
      <c r="F614" s="5">
        <v>45800</v>
      </c>
      <c r="G614" s="3" t="s">
        <v>1671</v>
      </c>
      <c r="H614" s="3" t="s">
        <v>13</v>
      </c>
      <c r="I614" s="2">
        <v>421.13</v>
      </c>
      <c r="J614" s="3" t="s">
        <v>35</v>
      </c>
      <c r="K614">
        <f t="shared" si="18"/>
        <v>2026</v>
      </c>
      <c r="L614" t="str">
        <f t="shared" si="19"/>
        <v>18-30</v>
      </c>
      <c r="M614">
        <f>Table2[[#This Row],[appointment_date]]-Table2[[#This Row],[booking_date]]</f>
        <v>274</v>
      </c>
    </row>
    <row r="615" spans="1:13" x14ac:dyDescent="0.25">
      <c r="A615" s="4">
        <v>1090</v>
      </c>
      <c r="B615" s="3" t="s">
        <v>1673</v>
      </c>
      <c r="C615" s="4">
        <v>30</v>
      </c>
      <c r="D615" s="3" t="s">
        <v>37</v>
      </c>
      <c r="E615" s="5">
        <v>45801</v>
      </c>
      <c r="F615" s="5">
        <v>45478</v>
      </c>
      <c r="G615" s="3" t="s">
        <v>1674</v>
      </c>
      <c r="H615" s="3" t="s">
        <v>24</v>
      </c>
      <c r="I615" s="2">
        <v>1.53</v>
      </c>
      <c r="J615" s="3" t="s">
        <v>35</v>
      </c>
      <c r="K615">
        <f t="shared" si="18"/>
        <v>2025</v>
      </c>
      <c r="L615" t="str">
        <f t="shared" si="19"/>
        <v>18-30</v>
      </c>
      <c r="M615">
        <f>Table2[[#This Row],[appointment_date]]-Table2[[#This Row],[booking_date]]</f>
        <v>323</v>
      </c>
    </row>
    <row r="616" spans="1:13" x14ac:dyDescent="0.25">
      <c r="A616" s="4">
        <v>1047</v>
      </c>
      <c r="B616" s="3" t="s">
        <v>1676</v>
      </c>
      <c r="C616" s="4">
        <v>39</v>
      </c>
      <c r="D616" s="3" t="s">
        <v>68</v>
      </c>
      <c r="E616" s="5">
        <v>46107</v>
      </c>
      <c r="F616" s="5">
        <v>45893</v>
      </c>
      <c r="G616" s="3" t="s">
        <v>1677</v>
      </c>
      <c r="H616" s="3" t="s">
        <v>24</v>
      </c>
      <c r="I616" s="2">
        <v>500.9</v>
      </c>
      <c r="J616" s="3" t="s">
        <v>30</v>
      </c>
      <c r="K616">
        <f t="shared" si="18"/>
        <v>2026</v>
      </c>
      <c r="L616" t="str">
        <f t="shared" si="19"/>
        <v>31-40</v>
      </c>
      <c r="M616">
        <f>Table2[[#This Row],[appointment_date]]-Table2[[#This Row],[booking_date]]</f>
        <v>214</v>
      </c>
    </row>
    <row r="617" spans="1:13" x14ac:dyDescent="0.25">
      <c r="A617" s="4">
        <v>1077</v>
      </c>
      <c r="B617" s="3" t="s">
        <v>1679</v>
      </c>
      <c r="C617" s="4">
        <v>78</v>
      </c>
      <c r="D617" s="3" t="s">
        <v>37</v>
      </c>
      <c r="E617" s="5">
        <v>46010</v>
      </c>
      <c r="F617" s="5">
        <v>45915</v>
      </c>
      <c r="G617" s="3" t="s">
        <v>1680</v>
      </c>
      <c r="H617" s="3" t="s">
        <v>18</v>
      </c>
      <c r="I617" s="2">
        <v>358.83</v>
      </c>
      <c r="J617" s="3" t="s">
        <v>35</v>
      </c>
      <c r="K617">
        <f t="shared" si="18"/>
        <v>2025</v>
      </c>
      <c r="L617" t="str">
        <f t="shared" si="19"/>
        <v>71-80</v>
      </c>
      <c r="M617">
        <f>Table2[[#This Row],[appointment_date]]-Table2[[#This Row],[booking_date]]</f>
        <v>95</v>
      </c>
    </row>
    <row r="618" spans="1:13" x14ac:dyDescent="0.25">
      <c r="A618" s="4">
        <v>1055</v>
      </c>
      <c r="B618" s="3" t="s">
        <v>1682</v>
      </c>
      <c r="C618" s="4">
        <v>70</v>
      </c>
      <c r="D618" s="3" t="s">
        <v>37</v>
      </c>
      <c r="E618" s="5">
        <v>45895</v>
      </c>
      <c r="F618" s="5">
        <v>45645</v>
      </c>
      <c r="G618" s="3" t="s">
        <v>1683</v>
      </c>
      <c r="H618" s="3" t="s">
        <v>18</v>
      </c>
      <c r="I618" s="2">
        <v>212.66</v>
      </c>
      <c r="J618" s="3" t="s">
        <v>30</v>
      </c>
      <c r="K618">
        <f t="shared" si="18"/>
        <v>2025</v>
      </c>
      <c r="L618" t="str">
        <f t="shared" si="19"/>
        <v>61-70</v>
      </c>
      <c r="M618">
        <f>Table2[[#This Row],[appointment_date]]-Table2[[#This Row],[booking_date]]</f>
        <v>250</v>
      </c>
    </row>
    <row r="619" spans="1:13" x14ac:dyDescent="0.25">
      <c r="A619" s="4">
        <v>1073</v>
      </c>
      <c r="B619" s="3" t="s">
        <v>1684</v>
      </c>
      <c r="C619" s="4">
        <v>50</v>
      </c>
      <c r="D619" s="3"/>
      <c r="E619" s="5">
        <v>46041</v>
      </c>
      <c r="F619" s="5">
        <v>45383</v>
      </c>
      <c r="G619" s="3" t="s">
        <v>1685</v>
      </c>
      <c r="H619" s="3" t="s">
        <v>24</v>
      </c>
      <c r="I619" s="2">
        <v>4.3</v>
      </c>
      <c r="J619" s="3" t="s">
        <v>30</v>
      </c>
      <c r="K619">
        <f t="shared" si="18"/>
        <v>2026</v>
      </c>
      <c r="L619" t="str">
        <f t="shared" si="19"/>
        <v>41-50</v>
      </c>
      <c r="M619">
        <f>Table2[[#This Row],[appointment_date]]-Table2[[#This Row],[booking_date]]</f>
        <v>658</v>
      </c>
    </row>
    <row r="620" spans="1:13" x14ac:dyDescent="0.25">
      <c r="A620" s="4">
        <v>1016</v>
      </c>
      <c r="B620" s="3" t="s">
        <v>1687</v>
      </c>
      <c r="C620" s="4">
        <v>40</v>
      </c>
      <c r="D620" s="3"/>
      <c r="E620" s="5">
        <v>45807</v>
      </c>
      <c r="F620" s="5">
        <v>45800</v>
      </c>
      <c r="G620" s="3" t="s">
        <v>1688</v>
      </c>
      <c r="H620" s="3" t="s">
        <v>18</v>
      </c>
      <c r="I620" s="2">
        <v>136.22999999999999</v>
      </c>
      <c r="J620" s="3" t="s">
        <v>35</v>
      </c>
      <c r="K620">
        <f t="shared" si="18"/>
        <v>2025</v>
      </c>
      <c r="L620" t="str">
        <f t="shared" si="19"/>
        <v>31-40</v>
      </c>
      <c r="M620">
        <f>Table2[[#This Row],[appointment_date]]-Table2[[#This Row],[booking_date]]</f>
        <v>7</v>
      </c>
    </row>
    <row r="621" spans="1:13" x14ac:dyDescent="0.25">
      <c r="A621" s="4">
        <v>1018</v>
      </c>
      <c r="B621" s="3" t="s">
        <v>1689</v>
      </c>
      <c r="C621" s="4">
        <v>56</v>
      </c>
      <c r="D621" s="3" t="s">
        <v>37</v>
      </c>
      <c r="E621" s="5">
        <v>46081</v>
      </c>
      <c r="F621" s="5">
        <v>45696</v>
      </c>
      <c r="G621" s="3" t="s">
        <v>1690</v>
      </c>
      <c r="H621" s="3" t="s">
        <v>13</v>
      </c>
      <c r="I621" s="2">
        <v>0.76</v>
      </c>
      <c r="J621" s="3" t="s">
        <v>35</v>
      </c>
      <c r="K621">
        <f t="shared" si="18"/>
        <v>2026</v>
      </c>
      <c r="L621" t="str">
        <f t="shared" si="19"/>
        <v>51-60</v>
      </c>
      <c r="M621">
        <f>Table2[[#This Row],[appointment_date]]-Table2[[#This Row],[booking_date]]</f>
        <v>385</v>
      </c>
    </row>
    <row r="622" spans="1:13" x14ac:dyDescent="0.25">
      <c r="A622" s="4">
        <v>1035</v>
      </c>
      <c r="B622" s="3" t="s">
        <v>1692</v>
      </c>
      <c r="C622" s="4">
        <v>90</v>
      </c>
      <c r="D622" s="3" t="s">
        <v>37</v>
      </c>
      <c r="E622" s="5">
        <v>45876</v>
      </c>
      <c r="F622" s="5">
        <v>45649</v>
      </c>
      <c r="G622" s="3" t="s">
        <v>1693</v>
      </c>
      <c r="H622" s="3" t="s">
        <v>24</v>
      </c>
      <c r="I622" s="2">
        <v>88.94</v>
      </c>
      <c r="J622" s="3" t="s">
        <v>30</v>
      </c>
      <c r="K622">
        <f t="shared" si="18"/>
        <v>2025</v>
      </c>
      <c r="L622" t="str">
        <f t="shared" si="19"/>
        <v>81-90</v>
      </c>
      <c r="M622">
        <f>Table2[[#This Row],[appointment_date]]-Table2[[#This Row],[booking_date]]</f>
        <v>227</v>
      </c>
    </row>
    <row r="623" spans="1:13" x14ac:dyDescent="0.25">
      <c r="A623" s="4">
        <v>1032</v>
      </c>
      <c r="B623" s="3" t="s">
        <v>1695</v>
      </c>
      <c r="C623" s="4">
        <v>89</v>
      </c>
      <c r="D623" s="3" t="s">
        <v>68</v>
      </c>
      <c r="E623" s="5">
        <v>46071</v>
      </c>
      <c r="F623" s="5">
        <v>45599</v>
      </c>
      <c r="G623" s="3" t="s">
        <v>1696</v>
      </c>
      <c r="H623" s="3" t="s">
        <v>18</v>
      </c>
      <c r="I623" s="2">
        <v>2.4700000000000002</v>
      </c>
      <c r="J623" s="3" t="s">
        <v>30</v>
      </c>
      <c r="K623">
        <f t="shared" si="18"/>
        <v>2026</v>
      </c>
      <c r="L623" t="str">
        <f t="shared" si="19"/>
        <v>81-90</v>
      </c>
      <c r="M623">
        <f>Table2[[#This Row],[appointment_date]]-Table2[[#This Row],[booking_date]]</f>
        <v>472</v>
      </c>
    </row>
    <row r="624" spans="1:13" x14ac:dyDescent="0.25">
      <c r="A624" s="4">
        <v>1024</v>
      </c>
      <c r="B624" s="3" t="s">
        <v>1698</v>
      </c>
      <c r="C624" s="4">
        <v>20</v>
      </c>
      <c r="D624" s="3" t="s">
        <v>68</v>
      </c>
      <c r="E624" s="5">
        <v>45977</v>
      </c>
      <c r="F624" s="5">
        <v>45615</v>
      </c>
      <c r="G624" s="3" t="s">
        <v>1699</v>
      </c>
      <c r="H624" s="3" t="s">
        <v>28</v>
      </c>
      <c r="I624" s="2">
        <v>190.44</v>
      </c>
      <c r="J624" s="3" t="s">
        <v>30</v>
      </c>
      <c r="K624">
        <f t="shared" si="18"/>
        <v>2025</v>
      </c>
      <c r="L624" t="str">
        <f t="shared" si="19"/>
        <v>18-30</v>
      </c>
      <c r="M624">
        <f>Table2[[#This Row],[appointment_date]]-Table2[[#This Row],[booking_date]]</f>
        <v>362</v>
      </c>
    </row>
    <row r="625" spans="1:13" x14ac:dyDescent="0.25">
      <c r="A625" s="4">
        <v>1044</v>
      </c>
      <c r="B625" s="3" t="s">
        <v>1700</v>
      </c>
      <c r="C625" s="4">
        <v>25</v>
      </c>
      <c r="D625" s="3" t="s">
        <v>37</v>
      </c>
      <c r="E625" s="5">
        <v>46089</v>
      </c>
      <c r="F625" s="5">
        <v>45972</v>
      </c>
      <c r="G625" s="3" t="s">
        <v>1701</v>
      </c>
      <c r="H625" s="3" t="s">
        <v>28</v>
      </c>
      <c r="I625" s="2">
        <v>316.64</v>
      </c>
      <c r="J625" s="3" t="s">
        <v>35</v>
      </c>
      <c r="K625">
        <f t="shared" si="18"/>
        <v>2026</v>
      </c>
      <c r="L625" t="str">
        <f t="shared" si="19"/>
        <v>18-30</v>
      </c>
      <c r="M625">
        <f>Table2[[#This Row],[appointment_date]]-Table2[[#This Row],[booking_date]]</f>
        <v>117</v>
      </c>
    </row>
    <row r="626" spans="1:13" x14ac:dyDescent="0.25">
      <c r="A626" s="4">
        <v>1085</v>
      </c>
      <c r="B626" s="3" t="s">
        <v>1702</v>
      </c>
      <c r="C626" s="4">
        <v>67</v>
      </c>
      <c r="D626" s="3" t="s">
        <v>37</v>
      </c>
      <c r="E626" s="5">
        <v>45797</v>
      </c>
      <c r="F626" s="5">
        <v>45736</v>
      </c>
      <c r="G626" s="3" t="s">
        <v>1703</v>
      </c>
      <c r="H626" s="3" t="s">
        <v>18</v>
      </c>
      <c r="I626" s="2">
        <v>3.39</v>
      </c>
      <c r="J626" s="3" t="s">
        <v>30</v>
      </c>
      <c r="K626">
        <f t="shared" si="18"/>
        <v>2025</v>
      </c>
      <c r="L626" t="str">
        <f t="shared" si="19"/>
        <v>61-70</v>
      </c>
      <c r="M626">
        <f>Table2[[#This Row],[appointment_date]]-Table2[[#This Row],[booking_date]]</f>
        <v>61</v>
      </c>
    </row>
    <row r="627" spans="1:13" x14ac:dyDescent="0.25">
      <c r="A627" s="4">
        <v>1089</v>
      </c>
      <c r="B627" s="3" t="s">
        <v>1705</v>
      </c>
      <c r="C627" s="4">
        <v>75</v>
      </c>
      <c r="D627" s="3" t="s">
        <v>37</v>
      </c>
      <c r="E627" s="5">
        <v>45991</v>
      </c>
      <c r="F627" s="5">
        <v>45813</v>
      </c>
      <c r="G627" s="3" t="s">
        <v>1706</v>
      </c>
      <c r="H627" s="3" t="s">
        <v>13</v>
      </c>
      <c r="I627" s="2">
        <v>414.58</v>
      </c>
      <c r="J627" s="3" t="s">
        <v>35</v>
      </c>
      <c r="K627">
        <f t="shared" si="18"/>
        <v>2025</v>
      </c>
      <c r="L627" t="str">
        <f t="shared" si="19"/>
        <v>71-80</v>
      </c>
      <c r="M627">
        <f>Table2[[#This Row],[appointment_date]]-Table2[[#This Row],[booking_date]]</f>
        <v>178</v>
      </c>
    </row>
    <row r="628" spans="1:13" x14ac:dyDescent="0.25">
      <c r="A628" s="4">
        <v>1064</v>
      </c>
      <c r="B628" s="3" t="s">
        <v>1707</v>
      </c>
      <c r="C628" s="4">
        <v>54</v>
      </c>
      <c r="D628" s="3" t="s">
        <v>68</v>
      </c>
      <c r="E628" s="5">
        <v>45849</v>
      </c>
      <c r="F628" s="5">
        <v>45468</v>
      </c>
      <c r="G628" s="3" t="s">
        <v>1708</v>
      </c>
      <c r="H628" s="3" t="s">
        <v>13</v>
      </c>
      <c r="I628" s="2">
        <v>378.83</v>
      </c>
      <c r="J628" s="3" t="s">
        <v>35</v>
      </c>
      <c r="K628">
        <f t="shared" si="18"/>
        <v>2025</v>
      </c>
      <c r="L628" t="str">
        <f t="shared" si="19"/>
        <v>51-60</v>
      </c>
      <c r="M628">
        <f>Table2[[#This Row],[appointment_date]]-Table2[[#This Row],[booking_date]]</f>
        <v>381</v>
      </c>
    </row>
    <row r="629" spans="1:13" x14ac:dyDescent="0.25">
      <c r="A629" s="4">
        <v>1077</v>
      </c>
      <c r="B629" s="3" t="s">
        <v>1710</v>
      </c>
      <c r="C629" s="4">
        <v>57</v>
      </c>
      <c r="D629" s="3" t="s">
        <v>37</v>
      </c>
      <c r="E629" s="5">
        <v>45995</v>
      </c>
      <c r="F629" s="5">
        <v>45577</v>
      </c>
      <c r="G629" s="3" t="s">
        <v>1711</v>
      </c>
      <c r="H629" s="3" t="s">
        <v>24</v>
      </c>
      <c r="I629" s="2">
        <v>59.75</v>
      </c>
      <c r="J629" s="3" t="s">
        <v>30</v>
      </c>
      <c r="K629">
        <f t="shared" si="18"/>
        <v>2025</v>
      </c>
      <c r="L629" t="str">
        <f t="shared" si="19"/>
        <v>51-60</v>
      </c>
      <c r="M629">
        <f>Table2[[#This Row],[appointment_date]]-Table2[[#This Row],[booking_date]]</f>
        <v>418</v>
      </c>
    </row>
    <row r="630" spans="1:13" x14ac:dyDescent="0.25">
      <c r="A630" s="4">
        <v>1092</v>
      </c>
      <c r="B630" s="3" t="s">
        <v>1713</v>
      </c>
      <c r="C630" s="4">
        <v>89</v>
      </c>
      <c r="D630" s="3" t="s">
        <v>37</v>
      </c>
      <c r="E630" s="5">
        <v>45840</v>
      </c>
      <c r="F630" s="5">
        <v>45755</v>
      </c>
      <c r="G630" s="3" t="s">
        <v>1714</v>
      </c>
      <c r="H630" s="3" t="s">
        <v>28</v>
      </c>
      <c r="I630" s="2">
        <v>186.43</v>
      </c>
      <c r="J630" s="3" t="s">
        <v>30</v>
      </c>
      <c r="K630">
        <f t="shared" si="18"/>
        <v>2025</v>
      </c>
      <c r="L630" t="str">
        <f t="shared" si="19"/>
        <v>81-90</v>
      </c>
      <c r="M630">
        <f>Table2[[#This Row],[appointment_date]]-Table2[[#This Row],[booking_date]]</f>
        <v>85</v>
      </c>
    </row>
    <row r="631" spans="1:13" x14ac:dyDescent="0.25">
      <c r="A631" s="4">
        <v>1084</v>
      </c>
      <c r="B631" s="3" t="s">
        <v>1715</v>
      </c>
      <c r="C631" s="4">
        <v>42</v>
      </c>
      <c r="D631" s="3" t="s">
        <v>37</v>
      </c>
      <c r="E631" s="5">
        <v>45796</v>
      </c>
      <c r="F631" s="5">
        <v>45603</v>
      </c>
      <c r="G631" s="3" t="s">
        <v>1716</v>
      </c>
      <c r="H631" s="3" t="s">
        <v>28</v>
      </c>
      <c r="I631" s="2">
        <v>2.96</v>
      </c>
      <c r="J631" s="3" t="s">
        <v>30</v>
      </c>
      <c r="K631">
        <f t="shared" si="18"/>
        <v>2025</v>
      </c>
      <c r="L631" t="str">
        <f t="shared" si="19"/>
        <v>41-50</v>
      </c>
      <c r="M631">
        <f>Table2[[#This Row],[appointment_date]]-Table2[[#This Row],[booking_date]]</f>
        <v>193</v>
      </c>
    </row>
    <row r="632" spans="1:13" x14ac:dyDescent="0.25">
      <c r="A632" s="4">
        <v>1044</v>
      </c>
      <c r="B632" s="3" t="s">
        <v>1718</v>
      </c>
      <c r="C632" s="4">
        <v>79</v>
      </c>
      <c r="D632" s="3" t="s">
        <v>37</v>
      </c>
      <c r="E632" s="5">
        <v>46014</v>
      </c>
      <c r="F632" s="5">
        <v>45707</v>
      </c>
      <c r="G632" s="3" t="s">
        <v>1719</v>
      </c>
      <c r="H632" s="3" t="s">
        <v>28</v>
      </c>
      <c r="I632" s="2">
        <v>360.64</v>
      </c>
      <c r="J632" s="3" t="s">
        <v>35</v>
      </c>
      <c r="K632">
        <f t="shared" si="18"/>
        <v>2025</v>
      </c>
      <c r="L632" t="str">
        <f t="shared" si="19"/>
        <v>71-80</v>
      </c>
      <c r="M632">
        <f>Table2[[#This Row],[appointment_date]]-Table2[[#This Row],[booking_date]]</f>
        <v>307</v>
      </c>
    </row>
    <row r="633" spans="1:13" x14ac:dyDescent="0.25">
      <c r="A633" s="4">
        <v>1080</v>
      </c>
      <c r="B633" s="3" t="s">
        <v>1721</v>
      </c>
      <c r="C633" s="4">
        <v>80</v>
      </c>
      <c r="D633" s="3" t="s">
        <v>68</v>
      </c>
      <c r="E633" s="5">
        <v>46026</v>
      </c>
      <c r="F633" s="5">
        <v>45948</v>
      </c>
      <c r="G633" s="3" t="s">
        <v>1722</v>
      </c>
      <c r="H633" s="3" t="s">
        <v>28</v>
      </c>
      <c r="I633" s="2">
        <v>498.84</v>
      </c>
      <c r="J633" s="3" t="s">
        <v>30</v>
      </c>
      <c r="K633">
        <f t="shared" si="18"/>
        <v>2026</v>
      </c>
      <c r="L633" t="str">
        <f t="shared" si="19"/>
        <v>71-80</v>
      </c>
      <c r="M633">
        <f>Table2[[#This Row],[appointment_date]]-Table2[[#This Row],[booking_date]]</f>
        <v>78</v>
      </c>
    </row>
    <row r="634" spans="1:13" x14ac:dyDescent="0.25">
      <c r="A634" s="4">
        <v>1097</v>
      </c>
      <c r="B634" s="3" t="s">
        <v>1723</v>
      </c>
      <c r="C634" s="4">
        <v>86</v>
      </c>
      <c r="D634" s="3"/>
      <c r="E634" s="5">
        <v>45778</v>
      </c>
      <c r="F634" s="5">
        <v>45523</v>
      </c>
      <c r="G634" s="3" t="s">
        <v>1724</v>
      </c>
      <c r="H634" s="3" t="s">
        <v>13</v>
      </c>
      <c r="I634" s="2">
        <v>4.57</v>
      </c>
      <c r="J634" s="3" t="s">
        <v>35</v>
      </c>
      <c r="K634">
        <f t="shared" si="18"/>
        <v>2025</v>
      </c>
      <c r="L634" t="str">
        <f t="shared" si="19"/>
        <v>81-90</v>
      </c>
      <c r="M634">
        <f>Table2[[#This Row],[appointment_date]]-Table2[[#This Row],[booking_date]]</f>
        <v>255</v>
      </c>
    </row>
    <row r="635" spans="1:13" x14ac:dyDescent="0.25">
      <c r="A635" s="4">
        <v>1035</v>
      </c>
      <c r="B635" s="3" t="s">
        <v>1726</v>
      </c>
      <c r="C635" s="4">
        <v>75</v>
      </c>
      <c r="D635" s="3" t="s">
        <v>68</v>
      </c>
      <c r="E635" s="5">
        <v>45982</v>
      </c>
      <c r="F635" s="5">
        <v>45659</v>
      </c>
      <c r="G635" s="3" t="s">
        <v>1727</v>
      </c>
      <c r="H635" s="3" t="s">
        <v>28</v>
      </c>
      <c r="I635" s="2">
        <v>3.02</v>
      </c>
      <c r="J635" s="3" t="s">
        <v>35</v>
      </c>
      <c r="K635">
        <f t="shared" si="18"/>
        <v>2025</v>
      </c>
      <c r="L635" t="str">
        <f t="shared" si="19"/>
        <v>71-80</v>
      </c>
      <c r="M635">
        <f>Table2[[#This Row],[appointment_date]]-Table2[[#This Row],[booking_date]]</f>
        <v>323</v>
      </c>
    </row>
    <row r="636" spans="1:13" x14ac:dyDescent="0.25">
      <c r="A636" s="4">
        <v>1069</v>
      </c>
      <c r="B636" s="3" t="s">
        <v>1729</v>
      </c>
      <c r="C636" s="4">
        <v>23</v>
      </c>
      <c r="D636" s="3" t="s">
        <v>37</v>
      </c>
      <c r="E636" s="5">
        <v>45944</v>
      </c>
      <c r="F636" s="5">
        <v>45696</v>
      </c>
      <c r="G636" s="3" t="s">
        <v>1730</v>
      </c>
      <c r="H636" s="3" t="s">
        <v>24</v>
      </c>
      <c r="I636" s="2">
        <v>489.76</v>
      </c>
      <c r="J636" s="3" t="s">
        <v>35</v>
      </c>
      <c r="K636">
        <f t="shared" si="18"/>
        <v>2025</v>
      </c>
      <c r="L636" t="str">
        <f t="shared" si="19"/>
        <v>18-30</v>
      </c>
      <c r="M636">
        <f>Table2[[#This Row],[appointment_date]]-Table2[[#This Row],[booking_date]]</f>
        <v>248</v>
      </c>
    </row>
    <row r="637" spans="1:13" x14ac:dyDescent="0.25">
      <c r="A637" s="4">
        <v>1016</v>
      </c>
      <c r="B637" s="3" t="s">
        <v>1732</v>
      </c>
      <c r="C637" s="4">
        <v>46</v>
      </c>
      <c r="D637" s="3" t="s">
        <v>68</v>
      </c>
      <c r="E637" s="5">
        <v>45826</v>
      </c>
      <c r="F637" s="5">
        <v>45584</v>
      </c>
      <c r="G637" s="3" t="s">
        <v>1733</v>
      </c>
      <c r="H637" s="3" t="s">
        <v>18</v>
      </c>
      <c r="I637" s="2">
        <v>3.88</v>
      </c>
      <c r="J637" s="3" t="s">
        <v>35</v>
      </c>
      <c r="K637">
        <f t="shared" si="18"/>
        <v>2025</v>
      </c>
      <c r="L637" t="str">
        <f t="shared" si="19"/>
        <v>41-50</v>
      </c>
      <c r="M637">
        <f>Table2[[#This Row],[appointment_date]]-Table2[[#This Row],[booking_date]]</f>
        <v>242</v>
      </c>
    </row>
    <row r="638" spans="1:13" x14ac:dyDescent="0.25">
      <c r="A638" s="4">
        <v>1098</v>
      </c>
      <c r="B638" s="3" t="s">
        <v>1735</v>
      </c>
      <c r="C638" s="4">
        <v>29</v>
      </c>
      <c r="D638" s="3" t="s">
        <v>37</v>
      </c>
      <c r="E638" s="5">
        <v>45970</v>
      </c>
      <c r="F638" s="5">
        <v>45854</v>
      </c>
      <c r="G638" s="3" t="s">
        <v>1736</v>
      </c>
      <c r="H638" s="3" t="s">
        <v>13</v>
      </c>
      <c r="I638" s="2">
        <v>477.04</v>
      </c>
      <c r="J638" s="3" t="s">
        <v>30</v>
      </c>
      <c r="K638">
        <f t="shared" si="18"/>
        <v>2025</v>
      </c>
      <c r="L638" t="str">
        <f t="shared" si="19"/>
        <v>18-30</v>
      </c>
      <c r="M638">
        <f>Table2[[#This Row],[appointment_date]]-Table2[[#This Row],[booking_date]]</f>
        <v>116</v>
      </c>
    </row>
    <row r="639" spans="1:13" x14ac:dyDescent="0.25">
      <c r="A639" s="4">
        <v>1012</v>
      </c>
      <c r="B639" s="3" t="s">
        <v>1738</v>
      </c>
      <c r="C639" s="4">
        <v>38</v>
      </c>
      <c r="D639" s="3" t="s">
        <v>68</v>
      </c>
      <c r="E639" s="5">
        <v>46054</v>
      </c>
      <c r="F639" s="5">
        <v>45398</v>
      </c>
      <c r="G639" s="3" t="s">
        <v>1739</v>
      </c>
      <c r="H639" s="3" t="s">
        <v>18</v>
      </c>
      <c r="I639" s="2">
        <v>427.54</v>
      </c>
      <c r="J639" s="3" t="s">
        <v>30</v>
      </c>
      <c r="K639">
        <f t="shared" si="18"/>
        <v>2026</v>
      </c>
      <c r="L639" t="str">
        <f t="shared" si="19"/>
        <v>31-40</v>
      </c>
      <c r="M639">
        <f>Table2[[#This Row],[appointment_date]]-Table2[[#This Row],[booking_date]]</f>
        <v>656</v>
      </c>
    </row>
    <row r="640" spans="1:13" x14ac:dyDescent="0.25">
      <c r="A640" s="4">
        <v>1100</v>
      </c>
      <c r="B640" s="3" t="s">
        <v>1740</v>
      </c>
      <c r="C640" s="4">
        <v>60</v>
      </c>
      <c r="D640" s="3" t="s">
        <v>37</v>
      </c>
      <c r="E640" s="5">
        <v>45907</v>
      </c>
      <c r="F640" s="5">
        <v>45395</v>
      </c>
      <c r="G640" s="3" t="s">
        <v>1741</v>
      </c>
      <c r="H640" s="3" t="s">
        <v>18</v>
      </c>
      <c r="I640" s="2">
        <v>4.76</v>
      </c>
      <c r="J640" s="3" t="s">
        <v>35</v>
      </c>
      <c r="K640">
        <f t="shared" si="18"/>
        <v>2025</v>
      </c>
      <c r="L640" t="str">
        <f t="shared" si="19"/>
        <v>51-60</v>
      </c>
      <c r="M640">
        <f>Table2[[#This Row],[appointment_date]]-Table2[[#This Row],[booking_date]]</f>
        <v>512</v>
      </c>
    </row>
    <row r="641" spans="1:13" x14ac:dyDescent="0.25">
      <c r="A641" s="4">
        <v>1021</v>
      </c>
      <c r="B641" s="3" t="s">
        <v>1743</v>
      </c>
      <c r="C641" s="4">
        <v>37</v>
      </c>
      <c r="D641" s="3" t="s">
        <v>37</v>
      </c>
      <c r="E641" s="5">
        <v>45918</v>
      </c>
      <c r="F641" s="5">
        <v>45613</v>
      </c>
      <c r="G641" s="3" t="s">
        <v>1744</v>
      </c>
      <c r="H641" s="3" t="s">
        <v>13</v>
      </c>
      <c r="I641" s="2">
        <v>489.34</v>
      </c>
      <c r="J641" s="3" t="s">
        <v>30</v>
      </c>
      <c r="K641">
        <f t="shared" si="18"/>
        <v>2025</v>
      </c>
      <c r="L641" t="str">
        <f t="shared" si="19"/>
        <v>31-40</v>
      </c>
      <c r="M641">
        <f>Table2[[#This Row],[appointment_date]]-Table2[[#This Row],[booking_date]]</f>
        <v>305</v>
      </c>
    </row>
    <row r="642" spans="1:13" x14ac:dyDescent="0.25">
      <c r="A642" s="4">
        <v>1078</v>
      </c>
      <c r="B642" s="3" t="s">
        <v>1746</v>
      </c>
      <c r="C642" s="4">
        <v>82</v>
      </c>
      <c r="D642" s="3" t="s">
        <v>68</v>
      </c>
      <c r="E642" s="5">
        <v>46046</v>
      </c>
      <c r="F642" s="5">
        <v>45568</v>
      </c>
      <c r="G642" s="3" t="s">
        <v>1747</v>
      </c>
      <c r="H642" s="3" t="s">
        <v>18</v>
      </c>
      <c r="I642" s="2">
        <v>282.83</v>
      </c>
      <c r="J642" s="3" t="s">
        <v>30</v>
      </c>
      <c r="K642">
        <f t="shared" si="18"/>
        <v>2026</v>
      </c>
      <c r="L642" t="str">
        <f t="shared" si="19"/>
        <v>81-90</v>
      </c>
      <c r="M642">
        <f>Table2[[#This Row],[appointment_date]]-Table2[[#This Row],[booking_date]]</f>
        <v>478</v>
      </c>
    </row>
    <row r="643" spans="1:13" x14ac:dyDescent="0.25">
      <c r="A643" s="4">
        <v>1094</v>
      </c>
      <c r="B643" s="3" t="s">
        <v>1749</v>
      </c>
      <c r="C643" s="4">
        <v>60</v>
      </c>
      <c r="D643" s="3" t="s">
        <v>68</v>
      </c>
      <c r="E643" s="5">
        <v>45888</v>
      </c>
      <c r="F643" s="5">
        <v>45680</v>
      </c>
      <c r="G643" s="3" t="s">
        <v>1750</v>
      </c>
      <c r="H643" s="3" t="s">
        <v>24</v>
      </c>
      <c r="I643" s="2">
        <v>421.74</v>
      </c>
      <c r="J643" s="3" t="s">
        <v>35</v>
      </c>
      <c r="K643">
        <f t="shared" ref="K643:K706" si="20">YEAR(E643)</f>
        <v>2025</v>
      </c>
      <c r="L643" t="str">
        <f t="shared" ref="L643:L706" si="21">IF(C643="","",IF(C643&lt;=30,"18-30",IF(C643&lt;=40,"31-40",IF(C643&lt;=50,"41-50",IF(C643&lt;=60,"51-60",IF(C643&lt;=70,"61-70",IF(C643&lt;=80,"71-80","81-90")))))))</f>
        <v>51-60</v>
      </c>
      <c r="M643">
        <f>Table2[[#This Row],[appointment_date]]-Table2[[#This Row],[booking_date]]</f>
        <v>208</v>
      </c>
    </row>
    <row r="644" spans="1:13" x14ac:dyDescent="0.25">
      <c r="A644" s="4">
        <v>1022</v>
      </c>
      <c r="B644" s="3" t="s">
        <v>1751</v>
      </c>
      <c r="C644" s="4">
        <v>83</v>
      </c>
      <c r="D644" s="3" t="s">
        <v>68</v>
      </c>
      <c r="E644" s="5">
        <v>45915</v>
      </c>
      <c r="F644" s="5">
        <v>45649</v>
      </c>
      <c r="G644" s="3" t="s">
        <v>1752</v>
      </c>
      <c r="H644" s="3" t="s">
        <v>18</v>
      </c>
      <c r="I644" s="2">
        <v>233.55</v>
      </c>
      <c r="J644" s="3" t="s">
        <v>30</v>
      </c>
      <c r="K644">
        <f t="shared" si="20"/>
        <v>2025</v>
      </c>
      <c r="L644" t="str">
        <f t="shared" si="21"/>
        <v>81-90</v>
      </c>
      <c r="M644">
        <f>Table2[[#This Row],[appointment_date]]-Table2[[#This Row],[booking_date]]</f>
        <v>266</v>
      </c>
    </row>
    <row r="645" spans="1:13" x14ac:dyDescent="0.25">
      <c r="A645" s="4">
        <v>1056</v>
      </c>
      <c r="B645" s="3" t="s">
        <v>1754</v>
      </c>
      <c r="C645" s="4">
        <v>82</v>
      </c>
      <c r="D645" s="3" t="s">
        <v>68</v>
      </c>
      <c r="E645" s="5">
        <v>46026</v>
      </c>
      <c r="F645" s="5">
        <v>45763</v>
      </c>
      <c r="G645" s="3" t="s">
        <v>1755</v>
      </c>
      <c r="H645" s="3" t="s">
        <v>24</v>
      </c>
      <c r="I645" s="2">
        <v>2.23</v>
      </c>
      <c r="J645" s="3" t="s">
        <v>30</v>
      </c>
      <c r="K645">
        <f t="shared" si="20"/>
        <v>2026</v>
      </c>
      <c r="L645" t="str">
        <f t="shared" si="21"/>
        <v>81-90</v>
      </c>
      <c r="M645">
        <f>Table2[[#This Row],[appointment_date]]-Table2[[#This Row],[booking_date]]</f>
        <v>263</v>
      </c>
    </row>
    <row r="646" spans="1:13" x14ac:dyDescent="0.25">
      <c r="A646" s="4">
        <v>1066</v>
      </c>
      <c r="B646" s="3" t="s">
        <v>1757</v>
      </c>
      <c r="C646" s="4">
        <v>76</v>
      </c>
      <c r="D646" s="3" t="s">
        <v>68</v>
      </c>
      <c r="E646" s="5">
        <v>45961</v>
      </c>
      <c r="F646" s="5">
        <v>45470</v>
      </c>
      <c r="G646" s="3" t="s">
        <v>1758</v>
      </c>
      <c r="H646" s="3" t="s">
        <v>28</v>
      </c>
      <c r="I646" s="2">
        <v>163.76</v>
      </c>
      <c r="J646" s="3" t="s">
        <v>35</v>
      </c>
      <c r="K646">
        <f t="shared" si="20"/>
        <v>2025</v>
      </c>
      <c r="L646" t="str">
        <f t="shared" si="21"/>
        <v>71-80</v>
      </c>
      <c r="M646">
        <f>Table2[[#This Row],[appointment_date]]-Table2[[#This Row],[booking_date]]</f>
        <v>491</v>
      </c>
    </row>
    <row r="647" spans="1:13" x14ac:dyDescent="0.25">
      <c r="A647" s="4">
        <v>1088</v>
      </c>
      <c r="B647" s="3" t="s">
        <v>1760</v>
      </c>
      <c r="C647" s="4">
        <v>79</v>
      </c>
      <c r="D647" s="3" t="s">
        <v>37</v>
      </c>
      <c r="E647" s="5">
        <v>45982</v>
      </c>
      <c r="F647" s="5">
        <v>45911</v>
      </c>
      <c r="G647" s="3" t="s">
        <v>1761</v>
      </c>
      <c r="H647" s="3" t="s">
        <v>18</v>
      </c>
      <c r="I647" s="2">
        <v>337.15</v>
      </c>
      <c r="J647" s="3" t="s">
        <v>30</v>
      </c>
      <c r="K647">
        <f t="shared" si="20"/>
        <v>2025</v>
      </c>
      <c r="L647" t="str">
        <f t="shared" si="21"/>
        <v>71-80</v>
      </c>
      <c r="M647">
        <f>Table2[[#This Row],[appointment_date]]-Table2[[#This Row],[booking_date]]</f>
        <v>71</v>
      </c>
    </row>
    <row r="648" spans="1:13" x14ac:dyDescent="0.25">
      <c r="A648" s="4">
        <v>1001</v>
      </c>
      <c r="B648" s="3" t="s">
        <v>1762</v>
      </c>
      <c r="C648" s="4">
        <v>27</v>
      </c>
      <c r="D648" s="3" t="s">
        <v>37</v>
      </c>
      <c r="E648" s="5">
        <v>45887</v>
      </c>
      <c r="F648" s="5">
        <v>45800</v>
      </c>
      <c r="G648" s="3" t="s">
        <v>1763</v>
      </c>
      <c r="H648" s="3" t="s">
        <v>24</v>
      </c>
      <c r="I648" s="2">
        <v>202.45</v>
      </c>
      <c r="J648" s="3" t="s">
        <v>30</v>
      </c>
      <c r="K648">
        <f t="shared" si="20"/>
        <v>2025</v>
      </c>
      <c r="L648" t="str">
        <f t="shared" si="21"/>
        <v>18-30</v>
      </c>
      <c r="M648">
        <f>Table2[[#This Row],[appointment_date]]-Table2[[#This Row],[booking_date]]</f>
        <v>87</v>
      </c>
    </row>
    <row r="649" spans="1:13" x14ac:dyDescent="0.25">
      <c r="A649" s="4">
        <v>1076</v>
      </c>
      <c r="B649" s="3" t="s">
        <v>1765</v>
      </c>
      <c r="C649" s="4">
        <v>19</v>
      </c>
      <c r="D649" s="3" t="s">
        <v>37</v>
      </c>
      <c r="E649" s="5">
        <v>46075</v>
      </c>
      <c r="F649" s="5">
        <v>45820</v>
      </c>
      <c r="G649" s="3" t="s">
        <v>1766</v>
      </c>
      <c r="H649" s="3" t="s">
        <v>18</v>
      </c>
      <c r="I649" s="2">
        <v>445.97</v>
      </c>
      <c r="J649" s="3" t="s">
        <v>35</v>
      </c>
      <c r="K649">
        <f t="shared" si="20"/>
        <v>2026</v>
      </c>
      <c r="L649" t="str">
        <f t="shared" si="21"/>
        <v>18-30</v>
      </c>
      <c r="M649">
        <f>Table2[[#This Row],[appointment_date]]-Table2[[#This Row],[booking_date]]</f>
        <v>255</v>
      </c>
    </row>
    <row r="650" spans="1:13" x14ac:dyDescent="0.25">
      <c r="A650" s="4">
        <v>1019</v>
      </c>
      <c r="B650" s="3" t="s">
        <v>1767</v>
      </c>
      <c r="C650" s="4">
        <v>41</v>
      </c>
      <c r="D650" s="3" t="s">
        <v>68</v>
      </c>
      <c r="E650" s="5">
        <v>45961</v>
      </c>
      <c r="F650" s="5">
        <v>45483</v>
      </c>
      <c r="G650" s="3" t="s">
        <v>1768</v>
      </c>
      <c r="H650" s="3" t="s">
        <v>24</v>
      </c>
      <c r="I650" s="2">
        <v>314.64999999999998</v>
      </c>
      <c r="J650" s="3" t="s">
        <v>30</v>
      </c>
      <c r="K650">
        <f t="shared" si="20"/>
        <v>2025</v>
      </c>
      <c r="L650" t="str">
        <f t="shared" si="21"/>
        <v>41-50</v>
      </c>
      <c r="M650">
        <f>Table2[[#This Row],[appointment_date]]-Table2[[#This Row],[booking_date]]</f>
        <v>478</v>
      </c>
    </row>
    <row r="651" spans="1:13" x14ac:dyDescent="0.25">
      <c r="A651" s="4">
        <v>1005</v>
      </c>
      <c r="B651" s="3" t="s">
        <v>1770</v>
      </c>
      <c r="C651" s="4">
        <v>55</v>
      </c>
      <c r="D651" s="3" t="s">
        <v>37</v>
      </c>
      <c r="E651" s="5">
        <v>45876</v>
      </c>
      <c r="F651" s="5">
        <v>45388</v>
      </c>
      <c r="G651" s="3" t="s">
        <v>1771</v>
      </c>
      <c r="H651" s="3" t="s">
        <v>13</v>
      </c>
      <c r="I651" s="2">
        <v>125.33</v>
      </c>
      <c r="J651" s="3" t="s">
        <v>30</v>
      </c>
      <c r="K651">
        <f t="shared" si="20"/>
        <v>2025</v>
      </c>
      <c r="L651" t="str">
        <f t="shared" si="21"/>
        <v>51-60</v>
      </c>
      <c r="M651">
        <f>Table2[[#This Row],[appointment_date]]-Table2[[#This Row],[booking_date]]</f>
        <v>488</v>
      </c>
    </row>
    <row r="652" spans="1:13" x14ac:dyDescent="0.25">
      <c r="A652" s="4">
        <v>1030</v>
      </c>
      <c r="B652" s="3" t="s">
        <v>1772</v>
      </c>
      <c r="C652" s="4">
        <v>59</v>
      </c>
      <c r="D652" s="3" t="s">
        <v>68</v>
      </c>
      <c r="E652" s="5">
        <v>45991</v>
      </c>
      <c r="F652" s="5">
        <v>45870</v>
      </c>
      <c r="G652" s="3" t="s">
        <v>1773</v>
      </c>
      <c r="H652" s="3" t="s">
        <v>18</v>
      </c>
      <c r="I652" s="2">
        <v>441.93</v>
      </c>
      <c r="J652" s="3" t="s">
        <v>35</v>
      </c>
      <c r="K652">
        <f t="shared" si="20"/>
        <v>2025</v>
      </c>
      <c r="L652" t="str">
        <f t="shared" si="21"/>
        <v>51-60</v>
      </c>
      <c r="M652">
        <f>Table2[[#This Row],[appointment_date]]-Table2[[#This Row],[booking_date]]</f>
        <v>121</v>
      </c>
    </row>
    <row r="653" spans="1:13" x14ac:dyDescent="0.25">
      <c r="A653" s="4">
        <v>1088</v>
      </c>
      <c r="B653" s="3" t="s">
        <v>1775</v>
      </c>
      <c r="C653" s="4">
        <v>55</v>
      </c>
      <c r="D653" s="3" t="s">
        <v>37</v>
      </c>
      <c r="E653" s="5">
        <v>45983</v>
      </c>
      <c r="F653" s="5">
        <v>45544</v>
      </c>
      <c r="G653" s="3" t="s">
        <v>1776</v>
      </c>
      <c r="H653" s="3" t="s">
        <v>18</v>
      </c>
      <c r="I653" s="2">
        <v>107.65</v>
      </c>
      <c r="J653" s="3" t="s">
        <v>30</v>
      </c>
      <c r="K653">
        <f t="shared" si="20"/>
        <v>2025</v>
      </c>
      <c r="L653" t="str">
        <f t="shared" si="21"/>
        <v>51-60</v>
      </c>
      <c r="M653">
        <f>Table2[[#This Row],[appointment_date]]-Table2[[#This Row],[booking_date]]</f>
        <v>439</v>
      </c>
    </row>
    <row r="654" spans="1:13" x14ac:dyDescent="0.25">
      <c r="A654" s="4">
        <v>1018</v>
      </c>
      <c r="B654" s="3" t="s">
        <v>1778</v>
      </c>
      <c r="C654" s="4">
        <v>68</v>
      </c>
      <c r="D654" s="3" t="s">
        <v>68</v>
      </c>
      <c r="E654" s="5">
        <v>45769</v>
      </c>
      <c r="F654" s="5">
        <v>45750</v>
      </c>
      <c r="G654" s="3" t="s">
        <v>1779</v>
      </c>
      <c r="H654" s="3" t="s">
        <v>24</v>
      </c>
      <c r="I654" s="2">
        <v>3.36</v>
      </c>
      <c r="J654" s="3" t="s">
        <v>30</v>
      </c>
      <c r="K654">
        <f t="shared" si="20"/>
        <v>2025</v>
      </c>
      <c r="L654" t="str">
        <f t="shared" si="21"/>
        <v>61-70</v>
      </c>
      <c r="M654">
        <f>Table2[[#This Row],[appointment_date]]-Table2[[#This Row],[booking_date]]</f>
        <v>19</v>
      </c>
    </row>
    <row r="655" spans="1:13" x14ac:dyDescent="0.25">
      <c r="A655" s="4">
        <v>1092</v>
      </c>
      <c r="B655" s="3" t="s">
        <v>1781</v>
      </c>
      <c r="C655" s="4">
        <v>68</v>
      </c>
      <c r="D655" s="3" t="s">
        <v>37</v>
      </c>
      <c r="E655" s="5">
        <v>45831</v>
      </c>
      <c r="F655" s="5">
        <v>45589</v>
      </c>
      <c r="G655" s="3" t="s">
        <v>1782</v>
      </c>
      <c r="H655" s="3" t="s">
        <v>13</v>
      </c>
      <c r="I655" s="2">
        <v>169.01</v>
      </c>
      <c r="J655" s="3" t="s">
        <v>30</v>
      </c>
      <c r="K655">
        <f t="shared" si="20"/>
        <v>2025</v>
      </c>
      <c r="L655" t="str">
        <f t="shared" si="21"/>
        <v>61-70</v>
      </c>
      <c r="M655">
        <f>Table2[[#This Row],[appointment_date]]-Table2[[#This Row],[booking_date]]</f>
        <v>242</v>
      </c>
    </row>
    <row r="656" spans="1:13" x14ac:dyDescent="0.25">
      <c r="A656" s="4">
        <v>1030</v>
      </c>
      <c r="B656" s="3" t="s">
        <v>1783</v>
      </c>
      <c r="C656" s="4">
        <v>39</v>
      </c>
      <c r="D656" s="3" t="s">
        <v>68</v>
      </c>
      <c r="E656" s="5">
        <v>45979</v>
      </c>
      <c r="F656" s="5">
        <v>45965</v>
      </c>
      <c r="G656" s="3" t="s">
        <v>1784</v>
      </c>
      <c r="H656" s="3" t="s">
        <v>24</v>
      </c>
      <c r="I656" s="2">
        <v>341.44</v>
      </c>
      <c r="J656" s="3" t="s">
        <v>30</v>
      </c>
      <c r="K656">
        <f t="shared" si="20"/>
        <v>2025</v>
      </c>
      <c r="L656" t="str">
        <f t="shared" si="21"/>
        <v>31-40</v>
      </c>
      <c r="M656">
        <f>Table2[[#This Row],[appointment_date]]-Table2[[#This Row],[booking_date]]</f>
        <v>14</v>
      </c>
    </row>
    <row r="657" spans="1:13" x14ac:dyDescent="0.25">
      <c r="A657" s="4">
        <v>1089</v>
      </c>
      <c r="B657" s="3" t="s">
        <v>1786</v>
      </c>
      <c r="C657" s="4">
        <v>63</v>
      </c>
      <c r="D657" s="3" t="s">
        <v>68</v>
      </c>
      <c r="E657" s="5">
        <v>45970</v>
      </c>
      <c r="F657" s="5">
        <v>45634</v>
      </c>
      <c r="G657" s="3" t="s">
        <v>1787</v>
      </c>
      <c r="H657" s="3" t="s">
        <v>24</v>
      </c>
      <c r="I657" s="2">
        <v>4.6900000000000004</v>
      </c>
      <c r="J657" s="3" t="s">
        <v>35</v>
      </c>
      <c r="K657">
        <f t="shared" si="20"/>
        <v>2025</v>
      </c>
      <c r="L657" t="str">
        <f t="shared" si="21"/>
        <v>61-70</v>
      </c>
      <c r="M657">
        <f>Table2[[#This Row],[appointment_date]]-Table2[[#This Row],[booking_date]]</f>
        <v>336</v>
      </c>
    </row>
    <row r="658" spans="1:13" x14ac:dyDescent="0.25">
      <c r="A658" s="4">
        <v>1043</v>
      </c>
      <c r="B658" s="3" t="s">
        <v>1789</v>
      </c>
      <c r="C658" s="4">
        <v>82</v>
      </c>
      <c r="D658" s="3" t="s">
        <v>37</v>
      </c>
      <c r="E658" s="5">
        <v>45800</v>
      </c>
      <c r="F658" s="5">
        <v>45583</v>
      </c>
      <c r="G658" s="3" t="s">
        <v>1790</v>
      </c>
      <c r="H658" s="3" t="s">
        <v>13</v>
      </c>
      <c r="I658" s="2">
        <v>215.76</v>
      </c>
      <c r="J658" s="3" t="s">
        <v>30</v>
      </c>
      <c r="K658">
        <f t="shared" si="20"/>
        <v>2025</v>
      </c>
      <c r="L658" t="str">
        <f t="shared" si="21"/>
        <v>81-90</v>
      </c>
      <c r="M658">
        <f>Table2[[#This Row],[appointment_date]]-Table2[[#This Row],[booking_date]]</f>
        <v>217</v>
      </c>
    </row>
    <row r="659" spans="1:13" x14ac:dyDescent="0.25">
      <c r="A659" s="4">
        <v>1021</v>
      </c>
      <c r="B659" s="3" t="s">
        <v>1791</v>
      </c>
      <c r="C659" s="4">
        <v>25</v>
      </c>
      <c r="D659" s="3" t="s">
        <v>37</v>
      </c>
      <c r="E659" s="5">
        <v>45931</v>
      </c>
      <c r="F659" s="5">
        <v>45536</v>
      </c>
      <c r="G659" s="3" t="s">
        <v>1792</v>
      </c>
      <c r="H659" s="3" t="s">
        <v>13</v>
      </c>
      <c r="I659" s="2">
        <v>184.11</v>
      </c>
      <c r="J659" s="3" t="s">
        <v>35</v>
      </c>
      <c r="K659">
        <f t="shared" si="20"/>
        <v>2025</v>
      </c>
      <c r="L659" t="str">
        <f t="shared" si="21"/>
        <v>18-30</v>
      </c>
      <c r="M659">
        <f>Table2[[#This Row],[appointment_date]]-Table2[[#This Row],[booking_date]]</f>
        <v>395</v>
      </c>
    </row>
    <row r="660" spans="1:13" x14ac:dyDescent="0.25">
      <c r="A660" s="4">
        <v>1086</v>
      </c>
      <c r="B660" s="3" t="s">
        <v>1793</v>
      </c>
      <c r="C660" s="4">
        <v>80</v>
      </c>
      <c r="D660" s="3" t="s">
        <v>37</v>
      </c>
      <c r="E660" s="5">
        <v>45985</v>
      </c>
      <c r="F660" s="5">
        <v>45655</v>
      </c>
      <c r="G660" s="3" t="s">
        <v>1794</v>
      </c>
      <c r="H660" s="3" t="s">
        <v>13</v>
      </c>
      <c r="I660" s="2">
        <v>2.4900000000000002</v>
      </c>
      <c r="J660" s="3" t="s">
        <v>35</v>
      </c>
      <c r="K660">
        <f t="shared" si="20"/>
        <v>2025</v>
      </c>
      <c r="L660" t="str">
        <f t="shared" si="21"/>
        <v>71-80</v>
      </c>
      <c r="M660">
        <f>Table2[[#This Row],[appointment_date]]-Table2[[#This Row],[booking_date]]</f>
        <v>330</v>
      </c>
    </row>
    <row r="661" spans="1:13" x14ac:dyDescent="0.25">
      <c r="A661" s="4">
        <v>1016</v>
      </c>
      <c r="B661" s="3" t="s">
        <v>1796</v>
      </c>
      <c r="C661" s="4">
        <v>53</v>
      </c>
      <c r="D661" s="3" t="s">
        <v>37</v>
      </c>
      <c r="E661" s="5">
        <v>45806</v>
      </c>
      <c r="F661" s="5">
        <v>45710</v>
      </c>
      <c r="G661" s="3" t="s">
        <v>1797</v>
      </c>
      <c r="H661" s="3" t="s">
        <v>18</v>
      </c>
      <c r="I661" s="2">
        <v>3.05</v>
      </c>
      <c r="J661" s="3" t="s">
        <v>35</v>
      </c>
      <c r="K661">
        <f t="shared" si="20"/>
        <v>2025</v>
      </c>
      <c r="L661" t="str">
        <f t="shared" si="21"/>
        <v>51-60</v>
      </c>
      <c r="M661">
        <f>Table2[[#This Row],[appointment_date]]-Table2[[#This Row],[booking_date]]</f>
        <v>96</v>
      </c>
    </row>
    <row r="662" spans="1:13" x14ac:dyDescent="0.25">
      <c r="A662" s="4">
        <v>1050</v>
      </c>
      <c r="B662" s="3" t="s">
        <v>1799</v>
      </c>
      <c r="C662" s="4">
        <v>83</v>
      </c>
      <c r="D662" s="3" t="s">
        <v>68</v>
      </c>
      <c r="E662" s="5">
        <v>45911</v>
      </c>
      <c r="F662" s="5">
        <v>45538</v>
      </c>
      <c r="G662" s="3" t="s">
        <v>1800</v>
      </c>
      <c r="H662" s="3" t="s">
        <v>24</v>
      </c>
      <c r="I662" s="2">
        <v>0.7</v>
      </c>
      <c r="J662" s="3" t="s">
        <v>30</v>
      </c>
      <c r="K662">
        <f t="shared" si="20"/>
        <v>2025</v>
      </c>
      <c r="L662" t="str">
        <f t="shared" si="21"/>
        <v>81-90</v>
      </c>
      <c r="M662">
        <f>Table2[[#This Row],[appointment_date]]-Table2[[#This Row],[booking_date]]</f>
        <v>373</v>
      </c>
    </row>
    <row r="663" spans="1:13" x14ac:dyDescent="0.25">
      <c r="A663" s="4">
        <v>1079</v>
      </c>
      <c r="B663" s="3" t="s">
        <v>1802</v>
      </c>
      <c r="C663" s="4">
        <v>85</v>
      </c>
      <c r="D663" s="3" t="s">
        <v>37</v>
      </c>
      <c r="E663" s="5">
        <v>46101</v>
      </c>
      <c r="F663" s="5">
        <v>45938</v>
      </c>
      <c r="G663" s="3" t="s">
        <v>1803</v>
      </c>
      <c r="H663" s="3" t="s">
        <v>18</v>
      </c>
      <c r="I663" s="2">
        <v>0.94</v>
      </c>
      <c r="J663" s="3" t="s">
        <v>30</v>
      </c>
      <c r="K663">
        <f t="shared" si="20"/>
        <v>2026</v>
      </c>
      <c r="L663" t="str">
        <f t="shared" si="21"/>
        <v>81-90</v>
      </c>
      <c r="M663">
        <f>Table2[[#This Row],[appointment_date]]-Table2[[#This Row],[booking_date]]</f>
        <v>163</v>
      </c>
    </row>
    <row r="664" spans="1:13" x14ac:dyDescent="0.25">
      <c r="A664" s="4">
        <v>1027</v>
      </c>
      <c r="B664" s="3" t="s">
        <v>1805</v>
      </c>
      <c r="C664" s="4">
        <v>26</v>
      </c>
      <c r="D664" s="3" t="s">
        <v>68</v>
      </c>
      <c r="E664" s="5">
        <v>46104</v>
      </c>
      <c r="F664" s="5">
        <v>45668</v>
      </c>
      <c r="G664" s="3" t="s">
        <v>1806</v>
      </c>
      <c r="H664" s="3" t="s">
        <v>18</v>
      </c>
      <c r="I664" s="2">
        <v>265.55</v>
      </c>
      <c r="J664" s="3" t="s">
        <v>30</v>
      </c>
      <c r="K664">
        <f t="shared" si="20"/>
        <v>2026</v>
      </c>
      <c r="L664" t="str">
        <f t="shared" si="21"/>
        <v>18-30</v>
      </c>
      <c r="M664">
        <f>Table2[[#This Row],[appointment_date]]-Table2[[#This Row],[booking_date]]</f>
        <v>436</v>
      </c>
    </row>
    <row r="665" spans="1:13" x14ac:dyDescent="0.25">
      <c r="A665" s="4">
        <v>1070</v>
      </c>
      <c r="B665" s="3" t="s">
        <v>1808</v>
      </c>
      <c r="C665" s="4">
        <v>30</v>
      </c>
      <c r="D665" s="3" t="s">
        <v>37</v>
      </c>
      <c r="E665" s="5">
        <v>45992</v>
      </c>
      <c r="F665" s="5">
        <v>45489</v>
      </c>
      <c r="G665" s="3" t="s">
        <v>1809</v>
      </c>
      <c r="H665" s="3" t="s">
        <v>18</v>
      </c>
      <c r="I665" s="2">
        <v>280.77</v>
      </c>
      <c r="J665" s="3" t="s">
        <v>30</v>
      </c>
      <c r="K665">
        <f t="shared" si="20"/>
        <v>2025</v>
      </c>
      <c r="L665" t="str">
        <f t="shared" si="21"/>
        <v>18-30</v>
      </c>
      <c r="M665">
        <f>Table2[[#This Row],[appointment_date]]-Table2[[#This Row],[booking_date]]</f>
        <v>503</v>
      </c>
    </row>
    <row r="666" spans="1:13" x14ac:dyDescent="0.25">
      <c r="A666" s="4">
        <v>1013</v>
      </c>
      <c r="B666" s="3" t="s">
        <v>1811</v>
      </c>
      <c r="C666" s="4">
        <v>21</v>
      </c>
      <c r="D666" s="3" t="s">
        <v>37</v>
      </c>
      <c r="E666" s="5">
        <v>46077</v>
      </c>
      <c r="F666" s="5">
        <v>45812</v>
      </c>
      <c r="G666" s="3" t="s">
        <v>1812</v>
      </c>
      <c r="H666" s="3" t="s">
        <v>24</v>
      </c>
      <c r="I666" s="2" t="s">
        <v>2693</v>
      </c>
      <c r="J666" s="3" t="s">
        <v>35</v>
      </c>
      <c r="K666">
        <f t="shared" si="20"/>
        <v>2026</v>
      </c>
      <c r="L666" t="str">
        <f t="shared" si="21"/>
        <v>18-30</v>
      </c>
      <c r="M666">
        <f>Table2[[#This Row],[appointment_date]]-Table2[[#This Row],[booking_date]]</f>
        <v>265</v>
      </c>
    </row>
    <row r="667" spans="1:13" x14ac:dyDescent="0.25">
      <c r="A667" s="4">
        <v>1027</v>
      </c>
      <c r="B667" s="3" t="s">
        <v>1813</v>
      </c>
      <c r="C667" s="4">
        <v>27</v>
      </c>
      <c r="D667" s="3" t="s">
        <v>37</v>
      </c>
      <c r="E667" s="5">
        <v>45842</v>
      </c>
      <c r="F667" s="5">
        <v>45733</v>
      </c>
      <c r="G667" s="3" t="s">
        <v>1814</v>
      </c>
      <c r="H667" s="3" t="s">
        <v>18</v>
      </c>
      <c r="I667" s="2">
        <v>421.57</v>
      </c>
      <c r="J667" s="3" t="s">
        <v>35</v>
      </c>
      <c r="K667">
        <f t="shared" si="20"/>
        <v>2025</v>
      </c>
      <c r="L667" t="str">
        <f t="shared" si="21"/>
        <v>18-30</v>
      </c>
      <c r="M667">
        <f>Table2[[#This Row],[appointment_date]]-Table2[[#This Row],[booking_date]]</f>
        <v>109</v>
      </c>
    </row>
    <row r="668" spans="1:13" x14ac:dyDescent="0.25">
      <c r="A668" s="4">
        <v>1087</v>
      </c>
      <c r="B668" s="3" t="s">
        <v>1815</v>
      </c>
      <c r="C668" s="4">
        <v>28</v>
      </c>
      <c r="D668" s="3" t="s">
        <v>37</v>
      </c>
      <c r="E668" s="5">
        <v>46104</v>
      </c>
      <c r="F668" s="5">
        <v>45383</v>
      </c>
      <c r="G668" s="3" t="s">
        <v>1816</v>
      </c>
      <c r="H668" s="3" t="s">
        <v>13</v>
      </c>
      <c r="I668" s="2">
        <v>87.12</v>
      </c>
      <c r="J668" s="3" t="s">
        <v>35</v>
      </c>
      <c r="K668">
        <f t="shared" si="20"/>
        <v>2026</v>
      </c>
      <c r="L668" t="str">
        <f t="shared" si="21"/>
        <v>18-30</v>
      </c>
      <c r="M668">
        <f>Table2[[#This Row],[appointment_date]]-Table2[[#This Row],[booking_date]]</f>
        <v>721</v>
      </c>
    </row>
    <row r="669" spans="1:13" x14ac:dyDescent="0.25">
      <c r="A669" s="4">
        <v>1081</v>
      </c>
      <c r="B669" s="3" t="s">
        <v>1818</v>
      </c>
      <c r="C669" s="4">
        <v>32</v>
      </c>
      <c r="D669" s="3" t="s">
        <v>37</v>
      </c>
      <c r="E669" s="5">
        <v>45844</v>
      </c>
      <c r="F669" s="5">
        <v>45757</v>
      </c>
      <c r="G669" s="3" t="s">
        <v>1819</v>
      </c>
      <c r="H669" s="3" t="s">
        <v>24</v>
      </c>
      <c r="I669" s="2">
        <v>175.08</v>
      </c>
      <c r="J669" s="3" t="s">
        <v>35</v>
      </c>
      <c r="K669">
        <f t="shared" si="20"/>
        <v>2025</v>
      </c>
      <c r="L669" t="str">
        <f t="shared" si="21"/>
        <v>31-40</v>
      </c>
      <c r="M669">
        <f>Table2[[#This Row],[appointment_date]]-Table2[[#This Row],[booking_date]]</f>
        <v>87</v>
      </c>
    </row>
    <row r="670" spans="1:13" x14ac:dyDescent="0.25">
      <c r="A670" s="4">
        <v>1053</v>
      </c>
      <c r="B670" s="3" t="s">
        <v>1821</v>
      </c>
      <c r="C670" s="4">
        <v>87</v>
      </c>
      <c r="D670" s="3" t="s">
        <v>68</v>
      </c>
      <c r="E670" s="5">
        <v>46060</v>
      </c>
      <c r="F670" s="5">
        <v>45484</v>
      </c>
      <c r="G670" s="3" t="s">
        <v>1822</v>
      </c>
      <c r="H670" s="3" t="s">
        <v>18</v>
      </c>
      <c r="I670" s="2">
        <v>249.74</v>
      </c>
      <c r="J670" s="3" t="s">
        <v>35</v>
      </c>
      <c r="K670">
        <f t="shared" si="20"/>
        <v>2026</v>
      </c>
      <c r="L670" t="str">
        <f t="shared" si="21"/>
        <v>81-90</v>
      </c>
      <c r="M670">
        <f>Table2[[#This Row],[appointment_date]]-Table2[[#This Row],[booking_date]]</f>
        <v>576</v>
      </c>
    </row>
    <row r="671" spans="1:13" x14ac:dyDescent="0.25">
      <c r="A671" s="4">
        <v>1051</v>
      </c>
      <c r="B671" s="3" t="s">
        <v>1823</v>
      </c>
      <c r="C671" s="4">
        <v>72</v>
      </c>
      <c r="D671" s="3" t="s">
        <v>37</v>
      </c>
      <c r="E671" s="5">
        <v>46086</v>
      </c>
      <c r="F671" s="5">
        <v>45742</v>
      </c>
      <c r="G671" s="3" t="s">
        <v>1824</v>
      </c>
      <c r="H671" s="3" t="s">
        <v>28</v>
      </c>
      <c r="I671" s="2">
        <v>126.56</v>
      </c>
      <c r="J671" s="3" t="s">
        <v>35</v>
      </c>
      <c r="K671">
        <f t="shared" si="20"/>
        <v>2026</v>
      </c>
      <c r="L671" t="str">
        <f t="shared" si="21"/>
        <v>71-80</v>
      </c>
      <c r="M671">
        <f>Table2[[#This Row],[appointment_date]]-Table2[[#This Row],[booking_date]]</f>
        <v>344</v>
      </c>
    </row>
    <row r="672" spans="1:13" x14ac:dyDescent="0.25">
      <c r="A672" s="4">
        <v>1098</v>
      </c>
      <c r="B672" s="3" t="s">
        <v>1825</v>
      </c>
      <c r="C672" s="4">
        <v>59</v>
      </c>
      <c r="D672" s="3" t="s">
        <v>68</v>
      </c>
      <c r="E672" s="5">
        <v>45940</v>
      </c>
      <c r="F672" s="5">
        <v>45522</v>
      </c>
      <c r="G672" s="3" t="s">
        <v>1826</v>
      </c>
      <c r="H672" s="3" t="s">
        <v>28</v>
      </c>
      <c r="I672" s="2">
        <v>143.32</v>
      </c>
      <c r="J672" s="3" t="s">
        <v>30</v>
      </c>
      <c r="K672">
        <f t="shared" si="20"/>
        <v>2025</v>
      </c>
      <c r="L672" t="str">
        <f t="shared" si="21"/>
        <v>51-60</v>
      </c>
      <c r="M672">
        <f>Table2[[#This Row],[appointment_date]]-Table2[[#This Row],[booking_date]]</f>
        <v>418</v>
      </c>
    </row>
    <row r="673" spans="1:13" x14ac:dyDescent="0.25">
      <c r="A673" s="4">
        <v>1009</v>
      </c>
      <c r="B673" s="3" t="s">
        <v>1827</v>
      </c>
      <c r="C673" s="4">
        <v>64</v>
      </c>
      <c r="D673" s="3" t="s">
        <v>68</v>
      </c>
      <c r="E673" s="5">
        <v>45869</v>
      </c>
      <c r="F673" s="5">
        <v>45527</v>
      </c>
      <c r="G673" s="3" t="s">
        <v>1828</v>
      </c>
      <c r="H673" s="3" t="s">
        <v>24</v>
      </c>
      <c r="I673" s="2">
        <v>470.55</v>
      </c>
      <c r="J673" s="3" t="s">
        <v>35</v>
      </c>
      <c r="K673">
        <f t="shared" si="20"/>
        <v>2025</v>
      </c>
      <c r="L673" t="str">
        <f t="shared" si="21"/>
        <v>61-70</v>
      </c>
      <c r="M673">
        <f>Table2[[#This Row],[appointment_date]]-Table2[[#This Row],[booking_date]]</f>
        <v>342</v>
      </c>
    </row>
    <row r="674" spans="1:13" x14ac:dyDescent="0.25">
      <c r="A674" s="4">
        <v>1021</v>
      </c>
      <c r="B674" s="3" t="s">
        <v>1830</v>
      </c>
      <c r="C674" s="4">
        <v>28</v>
      </c>
      <c r="D674" s="3" t="s">
        <v>37</v>
      </c>
      <c r="E674" s="5">
        <v>45884</v>
      </c>
      <c r="F674" s="5">
        <v>45613</v>
      </c>
      <c r="G674" s="3" t="s">
        <v>1831</v>
      </c>
      <c r="H674" s="3" t="s">
        <v>13</v>
      </c>
      <c r="I674" s="2">
        <v>232.14</v>
      </c>
      <c r="J674" s="3" t="s">
        <v>35</v>
      </c>
      <c r="K674">
        <f t="shared" si="20"/>
        <v>2025</v>
      </c>
      <c r="L674" t="str">
        <f t="shared" si="21"/>
        <v>18-30</v>
      </c>
      <c r="M674">
        <f>Table2[[#This Row],[appointment_date]]-Table2[[#This Row],[booking_date]]</f>
        <v>271</v>
      </c>
    </row>
    <row r="675" spans="1:13" x14ac:dyDescent="0.25">
      <c r="A675" s="4">
        <v>1046</v>
      </c>
      <c r="B675" s="3" t="s">
        <v>1833</v>
      </c>
      <c r="C675" s="4">
        <v>68</v>
      </c>
      <c r="D675" s="3" t="s">
        <v>68</v>
      </c>
      <c r="E675" s="5">
        <v>46097</v>
      </c>
      <c r="F675" s="5">
        <v>45418</v>
      </c>
      <c r="G675" s="3" t="s">
        <v>1834</v>
      </c>
      <c r="H675" s="3" t="s">
        <v>18</v>
      </c>
      <c r="I675" s="2">
        <v>289.63</v>
      </c>
      <c r="J675" s="3" t="s">
        <v>35</v>
      </c>
      <c r="K675">
        <f t="shared" si="20"/>
        <v>2026</v>
      </c>
      <c r="L675" t="str">
        <f t="shared" si="21"/>
        <v>61-70</v>
      </c>
      <c r="M675">
        <f>Table2[[#This Row],[appointment_date]]-Table2[[#This Row],[booking_date]]</f>
        <v>679</v>
      </c>
    </row>
    <row r="676" spans="1:13" x14ac:dyDescent="0.25">
      <c r="A676" s="4">
        <v>1044</v>
      </c>
      <c r="B676" s="3" t="s">
        <v>1836</v>
      </c>
      <c r="C676" s="4">
        <v>67</v>
      </c>
      <c r="D676" s="3" t="s">
        <v>68</v>
      </c>
      <c r="E676" s="5">
        <v>45759</v>
      </c>
      <c r="F676" s="5">
        <v>45486</v>
      </c>
      <c r="G676" s="3" t="s">
        <v>1837</v>
      </c>
      <c r="H676" s="3" t="s">
        <v>24</v>
      </c>
      <c r="I676" s="2">
        <v>3.05</v>
      </c>
      <c r="J676" s="3" t="s">
        <v>30</v>
      </c>
      <c r="K676">
        <f t="shared" si="20"/>
        <v>2025</v>
      </c>
      <c r="L676" t="str">
        <f t="shared" si="21"/>
        <v>61-70</v>
      </c>
      <c r="M676">
        <f>Table2[[#This Row],[appointment_date]]-Table2[[#This Row],[booking_date]]</f>
        <v>273</v>
      </c>
    </row>
    <row r="677" spans="1:13" x14ac:dyDescent="0.25">
      <c r="A677" s="4">
        <v>1058</v>
      </c>
      <c r="B677" s="3" t="s">
        <v>1839</v>
      </c>
      <c r="C677" s="4">
        <v>37</v>
      </c>
      <c r="D677" s="3" t="s">
        <v>68</v>
      </c>
      <c r="E677" s="5">
        <v>46057</v>
      </c>
      <c r="F677" s="5">
        <v>45971</v>
      </c>
      <c r="G677" s="3" t="s">
        <v>1840</v>
      </c>
      <c r="H677" s="3" t="s">
        <v>18</v>
      </c>
      <c r="I677" s="2">
        <v>344.72</v>
      </c>
      <c r="J677" s="3" t="s">
        <v>35</v>
      </c>
      <c r="K677">
        <f t="shared" si="20"/>
        <v>2026</v>
      </c>
      <c r="L677" t="str">
        <f t="shared" si="21"/>
        <v>31-40</v>
      </c>
      <c r="M677">
        <f>Table2[[#This Row],[appointment_date]]-Table2[[#This Row],[booking_date]]</f>
        <v>86</v>
      </c>
    </row>
    <row r="678" spans="1:13" x14ac:dyDescent="0.25">
      <c r="A678" s="4">
        <v>1004</v>
      </c>
      <c r="B678" s="3" t="s">
        <v>1842</v>
      </c>
      <c r="C678" s="4">
        <v>53</v>
      </c>
      <c r="D678" s="3"/>
      <c r="E678" s="5">
        <v>45878</v>
      </c>
      <c r="F678" s="5">
        <v>45479</v>
      </c>
      <c r="G678" s="3" t="s">
        <v>1843</v>
      </c>
      <c r="H678" s="3" t="s">
        <v>24</v>
      </c>
      <c r="I678" s="2">
        <v>5.42</v>
      </c>
      <c r="J678" s="3" t="s">
        <v>35</v>
      </c>
      <c r="K678">
        <f t="shared" si="20"/>
        <v>2025</v>
      </c>
      <c r="L678" t="str">
        <f t="shared" si="21"/>
        <v>51-60</v>
      </c>
      <c r="M678">
        <f>Table2[[#This Row],[appointment_date]]-Table2[[#This Row],[booking_date]]</f>
        <v>399</v>
      </c>
    </row>
    <row r="679" spans="1:13" x14ac:dyDescent="0.25">
      <c r="A679" s="4">
        <v>1088</v>
      </c>
      <c r="B679" s="3" t="s">
        <v>1845</v>
      </c>
      <c r="C679" s="4">
        <v>21</v>
      </c>
      <c r="D679" s="3" t="s">
        <v>68</v>
      </c>
      <c r="E679" s="5">
        <v>45973</v>
      </c>
      <c r="F679" s="5">
        <v>45769</v>
      </c>
      <c r="G679" s="3" t="s">
        <v>1846</v>
      </c>
      <c r="H679" s="3" t="s">
        <v>24</v>
      </c>
      <c r="I679" s="2">
        <v>57.55</v>
      </c>
      <c r="J679" s="3" t="s">
        <v>30</v>
      </c>
      <c r="K679">
        <f t="shared" si="20"/>
        <v>2025</v>
      </c>
      <c r="L679" t="str">
        <f t="shared" si="21"/>
        <v>18-30</v>
      </c>
      <c r="M679">
        <f>Table2[[#This Row],[appointment_date]]-Table2[[#This Row],[booking_date]]</f>
        <v>204</v>
      </c>
    </row>
    <row r="680" spans="1:13" x14ac:dyDescent="0.25">
      <c r="A680" s="4">
        <v>1035</v>
      </c>
      <c r="B680" s="3" t="s">
        <v>1848</v>
      </c>
      <c r="C680" s="4">
        <v>53</v>
      </c>
      <c r="D680" s="3" t="s">
        <v>68</v>
      </c>
      <c r="E680" s="5">
        <v>46048</v>
      </c>
      <c r="F680" s="5">
        <v>45562</v>
      </c>
      <c r="G680" s="3" t="s">
        <v>1849</v>
      </c>
      <c r="H680" s="3" t="s">
        <v>24</v>
      </c>
      <c r="I680" s="2">
        <v>4.1100000000000003</v>
      </c>
      <c r="J680" s="3" t="s">
        <v>35</v>
      </c>
      <c r="K680">
        <f t="shared" si="20"/>
        <v>2026</v>
      </c>
      <c r="L680" t="str">
        <f t="shared" si="21"/>
        <v>51-60</v>
      </c>
      <c r="M680">
        <f>Table2[[#This Row],[appointment_date]]-Table2[[#This Row],[booking_date]]</f>
        <v>486</v>
      </c>
    </row>
    <row r="681" spans="1:13" x14ac:dyDescent="0.25">
      <c r="A681" s="4">
        <v>1025</v>
      </c>
      <c r="B681" s="3" t="s">
        <v>1851</v>
      </c>
      <c r="C681" s="4">
        <v>69</v>
      </c>
      <c r="D681" s="3" t="s">
        <v>68</v>
      </c>
      <c r="E681" s="5">
        <v>45753</v>
      </c>
      <c r="F681" s="5">
        <v>45501</v>
      </c>
      <c r="G681" s="3" t="s">
        <v>1852</v>
      </c>
      <c r="H681" s="3" t="s">
        <v>18</v>
      </c>
      <c r="I681" s="2">
        <v>233.19</v>
      </c>
      <c r="J681" s="3" t="s">
        <v>30</v>
      </c>
      <c r="K681">
        <f t="shared" si="20"/>
        <v>2025</v>
      </c>
      <c r="L681" t="str">
        <f t="shared" si="21"/>
        <v>61-70</v>
      </c>
      <c r="M681">
        <f>Table2[[#This Row],[appointment_date]]-Table2[[#This Row],[booking_date]]</f>
        <v>252</v>
      </c>
    </row>
    <row r="682" spans="1:13" x14ac:dyDescent="0.25">
      <c r="A682" s="4">
        <v>1068</v>
      </c>
      <c r="B682" s="3" t="s">
        <v>1854</v>
      </c>
      <c r="C682" s="4">
        <v>25</v>
      </c>
      <c r="D682" s="3" t="s">
        <v>37</v>
      </c>
      <c r="E682" s="5">
        <v>46064</v>
      </c>
      <c r="F682" s="5">
        <v>45828</v>
      </c>
      <c r="G682" s="3" t="s">
        <v>1855</v>
      </c>
      <c r="H682" s="3" t="s">
        <v>24</v>
      </c>
      <c r="I682" s="2">
        <v>171.9</v>
      </c>
      <c r="J682" s="3" t="s">
        <v>30</v>
      </c>
      <c r="K682">
        <f t="shared" si="20"/>
        <v>2026</v>
      </c>
      <c r="L682" t="str">
        <f t="shared" si="21"/>
        <v>18-30</v>
      </c>
      <c r="M682">
        <f>Table2[[#This Row],[appointment_date]]-Table2[[#This Row],[booking_date]]</f>
        <v>236</v>
      </c>
    </row>
    <row r="683" spans="1:13" x14ac:dyDescent="0.25">
      <c r="A683" s="4">
        <v>1014</v>
      </c>
      <c r="B683" s="3" t="s">
        <v>1857</v>
      </c>
      <c r="C683" s="4">
        <v>61</v>
      </c>
      <c r="D683" s="3"/>
      <c r="E683" s="5">
        <v>45852</v>
      </c>
      <c r="F683" s="5">
        <v>45648</v>
      </c>
      <c r="G683" s="3" t="s">
        <v>1858</v>
      </c>
      <c r="H683" s="3" t="s">
        <v>13</v>
      </c>
      <c r="I683" s="2">
        <v>2.83</v>
      </c>
      <c r="J683" s="3" t="s">
        <v>35</v>
      </c>
      <c r="K683">
        <f t="shared" si="20"/>
        <v>2025</v>
      </c>
      <c r="L683" t="str">
        <f t="shared" si="21"/>
        <v>61-70</v>
      </c>
      <c r="M683">
        <f>Table2[[#This Row],[appointment_date]]-Table2[[#This Row],[booking_date]]</f>
        <v>204</v>
      </c>
    </row>
    <row r="684" spans="1:13" x14ac:dyDescent="0.25">
      <c r="A684" s="4">
        <v>1059</v>
      </c>
      <c r="B684" s="3" t="s">
        <v>1860</v>
      </c>
      <c r="C684" s="4">
        <v>23</v>
      </c>
      <c r="D684" s="3" t="s">
        <v>68</v>
      </c>
      <c r="E684" s="5">
        <v>45910</v>
      </c>
      <c r="F684" s="5">
        <v>45405</v>
      </c>
      <c r="G684" s="3" t="s">
        <v>1861</v>
      </c>
      <c r="H684" s="3" t="s">
        <v>28</v>
      </c>
      <c r="I684" s="2">
        <v>377.98</v>
      </c>
      <c r="J684" s="3" t="s">
        <v>35</v>
      </c>
      <c r="K684">
        <f t="shared" si="20"/>
        <v>2025</v>
      </c>
      <c r="L684" t="str">
        <f t="shared" si="21"/>
        <v>18-30</v>
      </c>
      <c r="M684">
        <f>Table2[[#This Row],[appointment_date]]-Table2[[#This Row],[booking_date]]</f>
        <v>505</v>
      </c>
    </row>
    <row r="685" spans="1:13" x14ac:dyDescent="0.25">
      <c r="A685" s="4">
        <v>1021</v>
      </c>
      <c r="B685" s="3" t="s">
        <v>1863</v>
      </c>
      <c r="C685" s="4">
        <v>61</v>
      </c>
      <c r="D685" s="3" t="s">
        <v>37</v>
      </c>
      <c r="E685" s="5">
        <v>46085</v>
      </c>
      <c r="F685" s="5">
        <v>45879</v>
      </c>
      <c r="G685" s="3" t="s">
        <v>1864</v>
      </c>
      <c r="H685" s="3" t="s">
        <v>24</v>
      </c>
      <c r="I685" s="2">
        <v>347.37</v>
      </c>
      <c r="J685" s="3" t="s">
        <v>35</v>
      </c>
      <c r="K685">
        <f t="shared" si="20"/>
        <v>2026</v>
      </c>
      <c r="L685" t="str">
        <f t="shared" si="21"/>
        <v>61-70</v>
      </c>
      <c r="M685">
        <f>Table2[[#This Row],[appointment_date]]-Table2[[#This Row],[booking_date]]</f>
        <v>206</v>
      </c>
    </row>
    <row r="686" spans="1:13" x14ac:dyDescent="0.25">
      <c r="A686" s="4">
        <v>1029</v>
      </c>
      <c r="B686" s="3" t="s">
        <v>1866</v>
      </c>
      <c r="C686" s="4">
        <v>69</v>
      </c>
      <c r="D686" s="3" t="s">
        <v>68</v>
      </c>
      <c r="E686" s="5">
        <v>45804</v>
      </c>
      <c r="F686" s="5">
        <v>45767</v>
      </c>
      <c r="G686" s="3" t="s">
        <v>1867</v>
      </c>
      <c r="H686" s="3" t="s">
        <v>18</v>
      </c>
      <c r="I686" s="2">
        <v>70.72</v>
      </c>
      <c r="J686" s="3" t="s">
        <v>30</v>
      </c>
      <c r="K686">
        <f t="shared" si="20"/>
        <v>2025</v>
      </c>
      <c r="L686" t="str">
        <f t="shared" si="21"/>
        <v>61-70</v>
      </c>
      <c r="M686">
        <f>Table2[[#This Row],[appointment_date]]-Table2[[#This Row],[booking_date]]</f>
        <v>37</v>
      </c>
    </row>
    <row r="687" spans="1:13" x14ac:dyDescent="0.25">
      <c r="A687" s="4">
        <v>1005</v>
      </c>
      <c r="B687" s="3" t="s">
        <v>1869</v>
      </c>
      <c r="C687" s="4">
        <v>23</v>
      </c>
      <c r="D687" s="3" t="s">
        <v>37</v>
      </c>
      <c r="E687" s="5">
        <v>46015</v>
      </c>
      <c r="F687" s="5">
        <v>45662</v>
      </c>
      <c r="G687" s="3" t="s">
        <v>1870</v>
      </c>
      <c r="H687" s="3" t="s">
        <v>18</v>
      </c>
      <c r="I687" s="2">
        <v>265.67</v>
      </c>
      <c r="J687" s="3" t="s">
        <v>30</v>
      </c>
      <c r="K687">
        <f t="shared" si="20"/>
        <v>2025</v>
      </c>
      <c r="L687" t="str">
        <f t="shared" si="21"/>
        <v>18-30</v>
      </c>
      <c r="M687">
        <f>Table2[[#This Row],[appointment_date]]-Table2[[#This Row],[booking_date]]</f>
        <v>353</v>
      </c>
    </row>
    <row r="688" spans="1:13" x14ac:dyDescent="0.25">
      <c r="A688" s="4">
        <v>1094</v>
      </c>
      <c r="B688" s="3" t="s">
        <v>1871</v>
      </c>
      <c r="C688" s="4">
        <v>59</v>
      </c>
      <c r="D688" s="3" t="s">
        <v>37</v>
      </c>
      <c r="E688" s="5">
        <v>45816</v>
      </c>
      <c r="F688" s="5">
        <v>45652</v>
      </c>
      <c r="G688" s="3" t="s">
        <v>1872</v>
      </c>
      <c r="H688" s="3" t="s">
        <v>18</v>
      </c>
      <c r="I688" s="2">
        <v>382.64</v>
      </c>
      <c r="J688" s="3" t="s">
        <v>35</v>
      </c>
      <c r="K688">
        <f t="shared" si="20"/>
        <v>2025</v>
      </c>
      <c r="L688" t="str">
        <f t="shared" si="21"/>
        <v>51-60</v>
      </c>
      <c r="M688">
        <f>Table2[[#This Row],[appointment_date]]-Table2[[#This Row],[booking_date]]</f>
        <v>164</v>
      </c>
    </row>
    <row r="689" spans="1:13" x14ac:dyDescent="0.25">
      <c r="A689" s="4">
        <v>1065</v>
      </c>
      <c r="B689" s="3" t="s">
        <v>1873</v>
      </c>
      <c r="C689" s="4">
        <v>80</v>
      </c>
      <c r="D689" s="3" t="s">
        <v>37</v>
      </c>
      <c r="E689" s="5">
        <v>45788</v>
      </c>
      <c r="F689" s="5">
        <v>45587</v>
      </c>
      <c r="G689" s="3" t="s">
        <v>1874</v>
      </c>
      <c r="H689" s="3" t="s">
        <v>13</v>
      </c>
      <c r="I689" s="2">
        <v>1.38</v>
      </c>
      <c r="J689" s="3" t="s">
        <v>30</v>
      </c>
      <c r="K689">
        <f t="shared" si="20"/>
        <v>2025</v>
      </c>
      <c r="L689" t="str">
        <f t="shared" si="21"/>
        <v>71-80</v>
      </c>
      <c r="M689">
        <f>Table2[[#This Row],[appointment_date]]-Table2[[#This Row],[booking_date]]</f>
        <v>201</v>
      </c>
    </row>
    <row r="690" spans="1:13" x14ac:dyDescent="0.25">
      <c r="A690" s="4">
        <v>1058</v>
      </c>
      <c r="B690" s="3" t="s">
        <v>1876</v>
      </c>
      <c r="C690" s="4">
        <v>27</v>
      </c>
      <c r="D690" s="3" t="s">
        <v>68</v>
      </c>
      <c r="E690" s="5">
        <v>45863</v>
      </c>
      <c r="F690" s="5">
        <v>45532</v>
      </c>
      <c r="G690" s="3" t="s">
        <v>1877</v>
      </c>
      <c r="H690" s="3" t="s">
        <v>18</v>
      </c>
      <c r="I690" s="2">
        <v>274.89999999999998</v>
      </c>
      <c r="J690" s="3" t="s">
        <v>30</v>
      </c>
      <c r="K690">
        <f t="shared" si="20"/>
        <v>2025</v>
      </c>
      <c r="L690" t="str">
        <f t="shared" si="21"/>
        <v>18-30</v>
      </c>
      <c r="M690">
        <f>Table2[[#This Row],[appointment_date]]-Table2[[#This Row],[booking_date]]</f>
        <v>331</v>
      </c>
    </row>
    <row r="691" spans="1:13" x14ac:dyDescent="0.25">
      <c r="A691" s="4">
        <v>1076</v>
      </c>
      <c r="B691" s="3" t="s">
        <v>1879</v>
      </c>
      <c r="C691" s="4">
        <v>39</v>
      </c>
      <c r="D691" s="3" t="s">
        <v>37</v>
      </c>
      <c r="E691" s="5">
        <v>45807</v>
      </c>
      <c r="F691" s="5">
        <v>45783</v>
      </c>
      <c r="G691" s="3" t="s">
        <v>1880</v>
      </c>
      <c r="H691" s="3" t="s">
        <v>28</v>
      </c>
      <c r="I691" s="2">
        <v>476.74</v>
      </c>
      <c r="J691" s="3" t="s">
        <v>35</v>
      </c>
      <c r="K691">
        <f t="shared" si="20"/>
        <v>2025</v>
      </c>
      <c r="L691" t="str">
        <f t="shared" si="21"/>
        <v>31-40</v>
      </c>
      <c r="M691">
        <f>Table2[[#This Row],[appointment_date]]-Table2[[#This Row],[booking_date]]</f>
        <v>24</v>
      </c>
    </row>
    <row r="692" spans="1:13" x14ac:dyDescent="0.25">
      <c r="A692" s="4">
        <v>1073</v>
      </c>
      <c r="B692" s="3" t="s">
        <v>1882</v>
      </c>
      <c r="C692" s="4">
        <v>52</v>
      </c>
      <c r="D692" s="3" t="s">
        <v>68</v>
      </c>
      <c r="E692" s="5">
        <v>45925</v>
      </c>
      <c r="F692" s="5">
        <v>45668</v>
      </c>
      <c r="G692" s="3" t="s">
        <v>1883</v>
      </c>
      <c r="H692" s="3" t="s">
        <v>13</v>
      </c>
      <c r="I692" s="2">
        <v>556.21</v>
      </c>
      <c r="J692" s="3" t="s">
        <v>30</v>
      </c>
      <c r="K692">
        <f t="shared" si="20"/>
        <v>2025</v>
      </c>
      <c r="L692" t="str">
        <f t="shared" si="21"/>
        <v>51-60</v>
      </c>
      <c r="M692">
        <f>Table2[[#This Row],[appointment_date]]-Table2[[#This Row],[booking_date]]</f>
        <v>257</v>
      </c>
    </row>
    <row r="693" spans="1:13" x14ac:dyDescent="0.25">
      <c r="A693" s="4">
        <v>1054</v>
      </c>
      <c r="B693" s="3" t="s">
        <v>1885</v>
      </c>
      <c r="C693" s="4">
        <v>66</v>
      </c>
      <c r="D693" s="3" t="s">
        <v>68</v>
      </c>
      <c r="E693" s="5">
        <v>45755</v>
      </c>
      <c r="F693" s="5">
        <v>45659</v>
      </c>
      <c r="G693" s="3" t="s">
        <v>1886</v>
      </c>
      <c r="H693" s="3" t="s">
        <v>18</v>
      </c>
      <c r="I693" s="2">
        <v>3.2</v>
      </c>
      <c r="J693" s="3" t="s">
        <v>35</v>
      </c>
      <c r="K693">
        <f t="shared" si="20"/>
        <v>2025</v>
      </c>
      <c r="L693" t="str">
        <f t="shared" si="21"/>
        <v>61-70</v>
      </c>
      <c r="M693">
        <f>Table2[[#This Row],[appointment_date]]-Table2[[#This Row],[booking_date]]</f>
        <v>96</v>
      </c>
    </row>
    <row r="694" spans="1:13" x14ac:dyDescent="0.25">
      <c r="A694" s="4">
        <v>1020</v>
      </c>
      <c r="B694" s="3" t="s">
        <v>1888</v>
      </c>
      <c r="C694" s="4">
        <v>52</v>
      </c>
      <c r="D694" s="3" t="s">
        <v>68</v>
      </c>
      <c r="E694" s="5">
        <v>46069</v>
      </c>
      <c r="F694" s="5">
        <v>45730</v>
      </c>
      <c r="G694" s="3" t="s">
        <v>1889</v>
      </c>
      <c r="H694" s="3" t="s">
        <v>28</v>
      </c>
      <c r="I694" s="2">
        <v>387.97</v>
      </c>
      <c r="J694" s="3" t="s">
        <v>30</v>
      </c>
      <c r="K694">
        <f t="shared" si="20"/>
        <v>2026</v>
      </c>
      <c r="L694" t="str">
        <f t="shared" si="21"/>
        <v>51-60</v>
      </c>
      <c r="M694">
        <f>Table2[[#This Row],[appointment_date]]-Table2[[#This Row],[booking_date]]</f>
        <v>339</v>
      </c>
    </row>
    <row r="695" spans="1:13" x14ac:dyDescent="0.25">
      <c r="A695" s="4">
        <v>1087</v>
      </c>
      <c r="B695" s="3" t="s">
        <v>1891</v>
      </c>
      <c r="C695" s="4">
        <v>78</v>
      </c>
      <c r="D695" s="3" t="s">
        <v>68</v>
      </c>
      <c r="E695" s="5">
        <v>46044</v>
      </c>
      <c r="F695" s="5">
        <v>45815</v>
      </c>
      <c r="G695" s="3" t="s">
        <v>1892</v>
      </c>
      <c r="H695" s="3" t="s">
        <v>28</v>
      </c>
      <c r="I695" s="2">
        <v>123.28</v>
      </c>
      <c r="J695" s="3" t="s">
        <v>30</v>
      </c>
      <c r="K695">
        <f t="shared" si="20"/>
        <v>2026</v>
      </c>
      <c r="L695" t="str">
        <f t="shared" si="21"/>
        <v>71-80</v>
      </c>
      <c r="M695">
        <f>Table2[[#This Row],[appointment_date]]-Table2[[#This Row],[booking_date]]</f>
        <v>229</v>
      </c>
    </row>
    <row r="696" spans="1:13" x14ac:dyDescent="0.25">
      <c r="A696" s="4">
        <v>1012</v>
      </c>
      <c r="B696" s="3" t="s">
        <v>1893</v>
      </c>
      <c r="C696" s="4">
        <v>45</v>
      </c>
      <c r="D696" s="3" t="s">
        <v>37</v>
      </c>
      <c r="E696" s="5">
        <v>45863</v>
      </c>
      <c r="F696" s="5">
        <v>45535</v>
      </c>
      <c r="G696" s="3" t="s">
        <v>1894</v>
      </c>
      <c r="H696" s="3" t="s">
        <v>18</v>
      </c>
      <c r="I696" s="2">
        <v>353.09</v>
      </c>
      <c r="J696" s="3" t="s">
        <v>30</v>
      </c>
      <c r="K696">
        <f t="shared" si="20"/>
        <v>2025</v>
      </c>
      <c r="L696" t="str">
        <f t="shared" si="21"/>
        <v>41-50</v>
      </c>
      <c r="M696">
        <f>Table2[[#This Row],[appointment_date]]-Table2[[#This Row],[booking_date]]</f>
        <v>328</v>
      </c>
    </row>
    <row r="697" spans="1:13" x14ac:dyDescent="0.25">
      <c r="A697" s="4">
        <v>1085</v>
      </c>
      <c r="B697" s="3" t="s">
        <v>1895</v>
      </c>
      <c r="C697" s="4">
        <v>30</v>
      </c>
      <c r="D697" s="3" t="s">
        <v>68</v>
      </c>
      <c r="E697" s="5">
        <v>46014</v>
      </c>
      <c r="F697" s="5">
        <v>45455</v>
      </c>
      <c r="G697" s="3" t="s">
        <v>1896</v>
      </c>
      <c r="H697" s="3" t="s">
        <v>24</v>
      </c>
      <c r="I697" s="2">
        <v>3.29</v>
      </c>
      <c r="J697" s="3" t="s">
        <v>35</v>
      </c>
      <c r="K697">
        <f t="shared" si="20"/>
        <v>2025</v>
      </c>
      <c r="L697" t="str">
        <f t="shared" si="21"/>
        <v>18-30</v>
      </c>
      <c r="M697">
        <f>Table2[[#This Row],[appointment_date]]-Table2[[#This Row],[booking_date]]</f>
        <v>559</v>
      </c>
    </row>
    <row r="698" spans="1:13" x14ac:dyDescent="0.25">
      <c r="A698" s="4">
        <v>1012</v>
      </c>
      <c r="B698" s="3" t="s">
        <v>1898</v>
      </c>
      <c r="C698" s="4">
        <v>30</v>
      </c>
      <c r="D698" s="3" t="s">
        <v>37</v>
      </c>
      <c r="E698" s="5">
        <v>45994</v>
      </c>
      <c r="F698" s="5">
        <v>45430</v>
      </c>
      <c r="G698" s="3" t="s">
        <v>1899</v>
      </c>
      <c r="H698" s="3" t="s">
        <v>24</v>
      </c>
      <c r="I698" s="2">
        <v>321.2</v>
      </c>
      <c r="J698" s="3" t="s">
        <v>35</v>
      </c>
      <c r="K698">
        <f t="shared" si="20"/>
        <v>2025</v>
      </c>
      <c r="L698" t="str">
        <f t="shared" si="21"/>
        <v>18-30</v>
      </c>
      <c r="M698">
        <f>Table2[[#This Row],[appointment_date]]-Table2[[#This Row],[booking_date]]</f>
        <v>564</v>
      </c>
    </row>
    <row r="699" spans="1:13" x14ac:dyDescent="0.25">
      <c r="A699" s="4">
        <v>1063</v>
      </c>
      <c r="B699" s="3" t="s">
        <v>1901</v>
      </c>
      <c r="C699" s="4">
        <v>46</v>
      </c>
      <c r="D699" s="3" t="s">
        <v>68</v>
      </c>
      <c r="E699" s="5">
        <v>45948</v>
      </c>
      <c r="F699" s="5">
        <v>45568</v>
      </c>
      <c r="G699" s="3" t="s">
        <v>1902</v>
      </c>
      <c r="H699" s="3" t="s">
        <v>18</v>
      </c>
      <c r="I699" s="2">
        <v>370.45</v>
      </c>
      <c r="J699" s="3" t="s">
        <v>30</v>
      </c>
      <c r="K699">
        <f t="shared" si="20"/>
        <v>2025</v>
      </c>
      <c r="L699" t="str">
        <f t="shared" si="21"/>
        <v>41-50</v>
      </c>
      <c r="M699">
        <f>Table2[[#This Row],[appointment_date]]-Table2[[#This Row],[booking_date]]</f>
        <v>380</v>
      </c>
    </row>
    <row r="700" spans="1:13" x14ac:dyDescent="0.25">
      <c r="A700" s="4">
        <v>1046</v>
      </c>
      <c r="B700" s="3" t="s">
        <v>1060</v>
      </c>
      <c r="C700" s="4">
        <v>28</v>
      </c>
      <c r="D700" s="3" t="s">
        <v>68</v>
      </c>
      <c r="E700" s="5">
        <v>45767</v>
      </c>
      <c r="F700" s="5">
        <v>45505</v>
      </c>
      <c r="G700" s="3" t="s">
        <v>1904</v>
      </c>
      <c r="H700" s="3" t="s">
        <v>18</v>
      </c>
      <c r="I700" s="2">
        <v>78.13</v>
      </c>
      <c r="J700" s="3" t="s">
        <v>35</v>
      </c>
      <c r="K700">
        <f t="shared" si="20"/>
        <v>2025</v>
      </c>
      <c r="L700" t="str">
        <f t="shared" si="21"/>
        <v>18-30</v>
      </c>
      <c r="M700">
        <f>Table2[[#This Row],[appointment_date]]-Table2[[#This Row],[booking_date]]</f>
        <v>262</v>
      </c>
    </row>
    <row r="701" spans="1:13" x14ac:dyDescent="0.25">
      <c r="A701" s="4">
        <v>1031</v>
      </c>
      <c r="B701" s="3" t="s">
        <v>1906</v>
      </c>
      <c r="C701" s="4">
        <v>57</v>
      </c>
      <c r="D701" s="3" t="s">
        <v>37</v>
      </c>
      <c r="E701" s="5">
        <v>45808</v>
      </c>
      <c r="F701" s="5">
        <v>45702</v>
      </c>
      <c r="G701" s="3" t="s">
        <v>1907</v>
      </c>
      <c r="H701" s="3" t="s">
        <v>18</v>
      </c>
      <c r="I701" s="2">
        <v>341.11</v>
      </c>
      <c r="J701" s="3" t="s">
        <v>30</v>
      </c>
      <c r="K701">
        <f t="shared" si="20"/>
        <v>2025</v>
      </c>
      <c r="L701" t="str">
        <f t="shared" si="21"/>
        <v>51-60</v>
      </c>
      <c r="M701">
        <f>Table2[[#This Row],[appointment_date]]-Table2[[#This Row],[booking_date]]</f>
        <v>106</v>
      </c>
    </row>
    <row r="702" spans="1:13" x14ac:dyDescent="0.25">
      <c r="A702" s="4">
        <v>1098</v>
      </c>
      <c r="B702" s="3" t="s">
        <v>1908</v>
      </c>
      <c r="C702" s="4">
        <v>27</v>
      </c>
      <c r="D702" s="3"/>
      <c r="E702" s="5">
        <v>46063</v>
      </c>
      <c r="F702" s="5">
        <v>45837</v>
      </c>
      <c r="G702" s="3" t="s">
        <v>1909</v>
      </c>
      <c r="H702" s="3" t="s">
        <v>28</v>
      </c>
      <c r="I702" s="2">
        <v>147.08000000000001</v>
      </c>
      <c r="J702" s="3" t="s">
        <v>30</v>
      </c>
      <c r="K702">
        <f t="shared" si="20"/>
        <v>2026</v>
      </c>
      <c r="L702" t="str">
        <f t="shared" si="21"/>
        <v>18-30</v>
      </c>
      <c r="M702">
        <f>Table2[[#This Row],[appointment_date]]-Table2[[#This Row],[booking_date]]</f>
        <v>226</v>
      </c>
    </row>
    <row r="703" spans="1:13" x14ac:dyDescent="0.25">
      <c r="A703" s="4">
        <v>1021</v>
      </c>
      <c r="B703" s="3" t="s">
        <v>1910</v>
      </c>
      <c r="C703" s="4">
        <v>63</v>
      </c>
      <c r="D703" s="3" t="s">
        <v>68</v>
      </c>
      <c r="E703" s="5">
        <v>45843</v>
      </c>
      <c r="F703" s="5">
        <v>45829</v>
      </c>
      <c r="G703" s="3" t="s">
        <v>1911</v>
      </c>
      <c r="H703" s="3" t="s">
        <v>24</v>
      </c>
      <c r="I703" s="2">
        <v>462.6</v>
      </c>
      <c r="J703" s="3" t="s">
        <v>35</v>
      </c>
      <c r="K703">
        <f t="shared" si="20"/>
        <v>2025</v>
      </c>
      <c r="L703" t="str">
        <f t="shared" si="21"/>
        <v>61-70</v>
      </c>
      <c r="M703">
        <f>Table2[[#This Row],[appointment_date]]-Table2[[#This Row],[booking_date]]</f>
        <v>14</v>
      </c>
    </row>
    <row r="704" spans="1:13" x14ac:dyDescent="0.25">
      <c r="A704" s="4">
        <v>1085</v>
      </c>
      <c r="B704" s="3" t="s">
        <v>1912</v>
      </c>
      <c r="C704" s="4">
        <v>25</v>
      </c>
      <c r="D704" s="3" t="s">
        <v>37</v>
      </c>
      <c r="E704" s="5">
        <v>45943</v>
      </c>
      <c r="F704" s="5">
        <v>45729</v>
      </c>
      <c r="G704" s="3" t="s">
        <v>1913</v>
      </c>
      <c r="H704" s="3" t="s">
        <v>28</v>
      </c>
      <c r="I704" s="2">
        <v>400.43</v>
      </c>
      <c r="J704" s="3" t="s">
        <v>35</v>
      </c>
      <c r="K704">
        <f t="shared" si="20"/>
        <v>2025</v>
      </c>
      <c r="L704" t="str">
        <f t="shared" si="21"/>
        <v>18-30</v>
      </c>
      <c r="M704">
        <f>Table2[[#This Row],[appointment_date]]-Table2[[#This Row],[booking_date]]</f>
        <v>214</v>
      </c>
    </row>
    <row r="705" spans="1:13" x14ac:dyDescent="0.25">
      <c r="A705" s="4">
        <v>1015</v>
      </c>
      <c r="B705" s="3" t="s">
        <v>1915</v>
      </c>
      <c r="C705" s="4">
        <v>84</v>
      </c>
      <c r="D705" s="3" t="s">
        <v>37</v>
      </c>
      <c r="E705" s="5">
        <v>46106</v>
      </c>
      <c r="F705" s="5">
        <v>45900</v>
      </c>
      <c r="G705" s="3" t="s">
        <v>1916</v>
      </c>
      <c r="H705" s="3" t="s">
        <v>13</v>
      </c>
      <c r="I705" s="2">
        <v>3.89</v>
      </c>
      <c r="J705" s="3" t="s">
        <v>35</v>
      </c>
      <c r="K705">
        <f t="shared" si="20"/>
        <v>2026</v>
      </c>
      <c r="L705" t="str">
        <f t="shared" si="21"/>
        <v>81-90</v>
      </c>
      <c r="M705">
        <f>Table2[[#This Row],[appointment_date]]-Table2[[#This Row],[booking_date]]</f>
        <v>206</v>
      </c>
    </row>
    <row r="706" spans="1:13" x14ac:dyDescent="0.25">
      <c r="A706" s="4">
        <v>1015</v>
      </c>
      <c r="B706" s="3" t="s">
        <v>1918</v>
      </c>
      <c r="C706" s="4">
        <v>86</v>
      </c>
      <c r="D706" s="3"/>
      <c r="E706" s="5">
        <v>45922</v>
      </c>
      <c r="F706" s="5">
        <v>45488</v>
      </c>
      <c r="G706" s="3" t="s">
        <v>1919</v>
      </c>
      <c r="H706" s="3" t="s">
        <v>18</v>
      </c>
      <c r="I706" s="2">
        <v>231.98</v>
      </c>
      <c r="J706" s="3" t="s">
        <v>35</v>
      </c>
      <c r="K706">
        <f t="shared" si="20"/>
        <v>2025</v>
      </c>
      <c r="L706" t="str">
        <f t="shared" si="21"/>
        <v>81-90</v>
      </c>
      <c r="M706">
        <f>Table2[[#This Row],[appointment_date]]-Table2[[#This Row],[booking_date]]</f>
        <v>434</v>
      </c>
    </row>
    <row r="707" spans="1:13" x14ac:dyDescent="0.25">
      <c r="A707" s="4">
        <v>1008</v>
      </c>
      <c r="B707" s="3" t="s">
        <v>1921</v>
      </c>
      <c r="C707" s="4">
        <v>40</v>
      </c>
      <c r="D707" s="3" t="s">
        <v>37</v>
      </c>
      <c r="E707" s="5">
        <v>45960</v>
      </c>
      <c r="F707" s="5">
        <v>45504</v>
      </c>
      <c r="G707" s="3" t="s">
        <v>1922</v>
      </c>
      <c r="H707" s="3" t="s">
        <v>18</v>
      </c>
      <c r="I707" s="2">
        <v>4.9400000000000004</v>
      </c>
      <c r="J707" s="3" t="s">
        <v>30</v>
      </c>
      <c r="K707">
        <f t="shared" ref="K707:K770" si="22">YEAR(E707)</f>
        <v>2025</v>
      </c>
      <c r="L707" t="str">
        <f t="shared" ref="L707:L770" si="23">IF(C707="","",IF(C707&lt;=30,"18-30",IF(C707&lt;=40,"31-40",IF(C707&lt;=50,"41-50",IF(C707&lt;=60,"51-60",IF(C707&lt;=70,"61-70",IF(C707&lt;=80,"71-80","81-90")))))))</f>
        <v>31-40</v>
      </c>
      <c r="M707">
        <f>Table2[[#This Row],[appointment_date]]-Table2[[#This Row],[booking_date]]</f>
        <v>456</v>
      </c>
    </row>
    <row r="708" spans="1:13" x14ac:dyDescent="0.25">
      <c r="A708" s="4">
        <v>1080</v>
      </c>
      <c r="B708" s="3" t="s">
        <v>1924</v>
      </c>
      <c r="C708" s="4">
        <v>78</v>
      </c>
      <c r="D708" s="3" t="s">
        <v>68</v>
      </c>
      <c r="E708" s="5">
        <v>46055</v>
      </c>
      <c r="F708" s="5">
        <v>45975</v>
      </c>
      <c r="G708" s="3" t="s">
        <v>1925</v>
      </c>
      <c r="H708" s="3" t="s">
        <v>13</v>
      </c>
      <c r="I708" s="2">
        <v>179.07</v>
      </c>
      <c r="J708" s="3" t="s">
        <v>30</v>
      </c>
      <c r="K708">
        <f t="shared" si="22"/>
        <v>2026</v>
      </c>
      <c r="L708" t="str">
        <f t="shared" si="23"/>
        <v>71-80</v>
      </c>
      <c r="M708">
        <f>Table2[[#This Row],[appointment_date]]-Table2[[#This Row],[booking_date]]</f>
        <v>80</v>
      </c>
    </row>
    <row r="709" spans="1:13" x14ac:dyDescent="0.25">
      <c r="A709" s="4">
        <v>1067</v>
      </c>
      <c r="B709" s="3" t="s">
        <v>1926</v>
      </c>
      <c r="C709" s="4">
        <v>28</v>
      </c>
      <c r="D709" s="3" t="s">
        <v>68</v>
      </c>
      <c r="E709" s="5">
        <v>46029</v>
      </c>
      <c r="F709" s="5">
        <v>45892</v>
      </c>
      <c r="G709" s="3" t="s">
        <v>1927</v>
      </c>
      <c r="H709" s="3" t="s">
        <v>13</v>
      </c>
      <c r="I709" s="2">
        <v>3.79</v>
      </c>
      <c r="J709" s="3" t="s">
        <v>35</v>
      </c>
      <c r="K709">
        <f t="shared" si="22"/>
        <v>2026</v>
      </c>
      <c r="L709" t="str">
        <f t="shared" si="23"/>
        <v>18-30</v>
      </c>
      <c r="M709">
        <f>Table2[[#This Row],[appointment_date]]-Table2[[#This Row],[booking_date]]</f>
        <v>137</v>
      </c>
    </row>
    <row r="710" spans="1:13" x14ac:dyDescent="0.25">
      <c r="A710" s="4">
        <v>1043</v>
      </c>
      <c r="B710" s="3" t="s">
        <v>1929</v>
      </c>
      <c r="C710" s="4">
        <v>80</v>
      </c>
      <c r="D710" s="3" t="s">
        <v>37</v>
      </c>
      <c r="E710" s="5">
        <v>45928</v>
      </c>
      <c r="F710" s="5">
        <v>45534</v>
      </c>
      <c r="G710" s="3" t="s">
        <v>1930</v>
      </c>
      <c r="H710" s="3" t="s">
        <v>24</v>
      </c>
      <c r="I710" s="2">
        <v>84.72</v>
      </c>
      <c r="J710" s="3" t="s">
        <v>35</v>
      </c>
      <c r="K710">
        <f t="shared" si="22"/>
        <v>2025</v>
      </c>
      <c r="L710" t="str">
        <f t="shared" si="23"/>
        <v>71-80</v>
      </c>
      <c r="M710">
        <f>Table2[[#This Row],[appointment_date]]-Table2[[#This Row],[booking_date]]</f>
        <v>394</v>
      </c>
    </row>
    <row r="711" spans="1:13" x14ac:dyDescent="0.25">
      <c r="A711" s="4">
        <v>1058</v>
      </c>
      <c r="B711" s="3" t="s">
        <v>1931</v>
      </c>
      <c r="C711" s="4">
        <v>34</v>
      </c>
      <c r="D711" s="3" t="s">
        <v>68</v>
      </c>
      <c r="E711" s="5">
        <v>45770</v>
      </c>
      <c r="F711" s="5">
        <v>45634</v>
      </c>
      <c r="G711" s="3" t="s">
        <v>1932</v>
      </c>
      <c r="H711" s="3" t="s">
        <v>18</v>
      </c>
      <c r="I711" s="2" t="s">
        <v>2693</v>
      </c>
      <c r="J711" s="3" t="s">
        <v>35</v>
      </c>
      <c r="K711">
        <f t="shared" si="22"/>
        <v>2025</v>
      </c>
      <c r="L711" t="str">
        <f t="shared" si="23"/>
        <v>31-40</v>
      </c>
      <c r="M711">
        <f>Table2[[#This Row],[appointment_date]]-Table2[[#This Row],[booking_date]]</f>
        <v>136</v>
      </c>
    </row>
    <row r="712" spans="1:13" x14ac:dyDescent="0.25">
      <c r="A712" s="4">
        <v>1001</v>
      </c>
      <c r="B712" s="3" t="s">
        <v>1933</v>
      </c>
      <c r="C712" s="4">
        <v>35</v>
      </c>
      <c r="D712" s="3" t="s">
        <v>68</v>
      </c>
      <c r="E712" s="5">
        <v>45852</v>
      </c>
      <c r="F712" s="5">
        <v>45475</v>
      </c>
      <c r="G712" s="3" t="s">
        <v>1934</v>
      </c>
      <c r="H712" s="3" t="s">
        <v>18</v>
      </c>
      <c r="I712" s="2">
        <v>638.12</v>
      </c>
      <c r="J712" s="3" t="s">
        <v>30</v>
      </c>
      <c r="K712">
        <f t="shared" si="22"/>
        <v>2025</v>
      </c>
      <c r="L712" t="str">
        <f t="shared" si="23"/>
        <v>31-40</v>
      </c>
      <c r="M712">
        <f>Table2[[#This Row],[appointment_date]]-Table2[[#This Row],[booking_date]]</f>
        <v>377</v>
      </c>
    </row>
    <row r="713" spans="1:13" x14ac:dyDescent="0.25">
      <c r="A713" s="4">
        <v>1012</v>
      </c>
      <c r="B713" s="3" t="s">
        <v>1936</v>
      </c>
      <c r="C713" s="4">
        <v>36</v>
      </c>
      <c r="D713" s="3" t="s">
        <v>68</v>
      </c>
      <c r="E713" s="5">
        <v>46106</v>
      </c>
      <c r="F713" s="5">
        <v>45415</v>
      </c>
      <c r="G713" s="3" t="s">
        <v>1937</v>
      </c>
      <c r="H713" s="3" t="s">
        <v>13</v>
      </c>
      <c r="I713" s="2">
        <v>87.35</v>
      </c>
      <c r="J713" s="3" t="s">
        <v>30</v>
      </c>
      <c r="K713">
        <f t="shared" si="22"/>
        <v>2026</v>
      </c>
      <c r="L713" t="str">
        <f t="shared" si="23"/>
        <v>31-40</v>
      </c>
      <c r="M713">
        <f>Table2[[#This Row],[appointment_date]]-Table2[[#This Row],[booking_date]]</f>
        <v>691</v>
      </c>
    </row>
    <row r="714" spans="1:13" x14ac:dyDescent="0.25">
      <c r="A714" s="4">
        <v>1066</v>
      </c>
      <c r="B714" s="3" t="s">
        <v>1939</v>
      </c>
      <c r="C714" s="4">
        <v>65</v>
      </c>
      <c r="D714" s="3" t="s">
        <v>68</v>
      </c>
      <c r="E714" s="5">
        <v>45879</v>
      </c>
      <c r="F714" s="5">
        <v>45663</v>
      </c>
      <c r="G714" s="3" t="s">
        <v>1940</v>
      </c>
      <c r="H714" s="3" t="s">
        <v>18</v>
      </c>
      <c r="I714" s="2">
        <v>1.25</v>
      </c>
      <c r="J714" s="3" t="s">
        <v>35</v>
      </c>
      <c r="K714">
        <f t="shared" si="22"/>
        <v>2025</v>
      </c>
      <c r="L714" t="str">
        <f t="shared" si="23"/>
        <v>61-70</v>
      </c>
      <c r="M714">
        <f>Table2[[#This Row],[appointment_date]]-Table2[[#This Row],[booking_date]]</f>
        <v>216</v>
      </c>
    </row>
    <row r="715" spans="1:13" x14ac:dyDescent="0.25">
      <c r="A715" s="4">
        <v>1015</v>
      </c>
      <c r="B715" s="3" t="s">
        <v>1942</v>
      </c>
      <c r="C715" s="4">
        <v>29</v>
      </c>
      <c r="D715" s="3" t="s">
        <v>68</v>
      </c>
      <c r="E715" s="5">
        <v>45819</v>
      </c>
      <c r="F715" s="5">
        <v>45475</v>
      </c>
      <c r="G715" s="3" t="s">
        <v>1943</v>
      </c>
      <c r="H715" s="3" t="s">
        <v>13</v>
      </c>
      <c r="I715" s="2">
        <v>482.84</v>
      </c>
      <c r="J715" s="3" t="s">
        <v>35</v>
      </c>
      <c r="K715">
        <f t="shared" si="22"/>
        <v>2025</v>
      </c>
      <c r="L715" t="str">
        <f t="shared" si="23"/>
        <v>18-30</v>
      </c>
      <c r="M715">
        <f>Table2[[#This Row],[appointment_date]]-Table2[[#This Row],[booking_date]]</f>
        <v>344</v>
      </c>
    </row>
    <row r="716" spans="1:13" x14ac:dyDescent="0.25">
      <c r="A716" s="4">
        <v>1024</v>
      </c>
      <c r="B716" s="3" t="s">
        <v>1945</v>
      </c>
      <c r="C716" s="4">
        <v>22</v>
      </c>
      <c r="D716" s="3"/>
      <c r="E716" s="5">
        <v>45848</v>
      </c>
      <c r="F716" s="5">
        <v>45489</v>
      </c>
      <c r="G716" s="3" t="s">
        <v>1946</v>
      </c>
      <c r="H716" s="3" t="s">
        <v>24</v>
      </c>
      <c r="I716" s="2">
        <v>477.72</v>
      </c>
      <c r="J716" s="3" t="s">
        <v>30</v>
      </c>
      <c r="K716">
        <f t="shared" si="22"/>
        <v>2025</v>
      </c>
      <c r="L716" t="str">
        <f t="shared" si="23"/>
        <v>18-30</v>
      </c>
      <c r="M716">
        <f>Table2[[#This Row],[appointment_date]]-Table2[[#This Row],[booking_date]]</f>
        <v>359</v>
      </c>
    </row>
    <row r="717" spans="1:13" x14ac:dyDescent="0.25">
      <c r="A717" s="4">
        <v>1013</v>
      </c>
      <c r="B717" s="3" t="s">
        <v>1947</v>
      </c>
      <c r="C717" s="4">
        <v>69</v>
      </c>
      <c r="D717" s="3" t="s">
        <v>68</v>
      </c>
      <c r="E717" s="5">
        <v>46043</v>
      </c>
      <c r="F717" s="5">
        <v>45444</v>
      </c>
      <c r="G717" s="3" t="s">
        <v>1948</v>
      </c>
      <c r="H717" s="3" t="s">
        <v>28</v>
      </c>
      <c r="I717" s="2">
        <v>3.19</v>
      </c>
      <c r="J717" s="3" t="s">
        <v>35</v>
      </c>
      <c r="K717">
        <f t="shared" si="22"/>
        <v>2026</v>
      </c>
      <c r="L717" t="str">
        <f t="shared" si="23"/>
        <v>61-70</v>
      </c>
      <c r="M717">
        <f>Table2[[#This Row],[appointment_date]]-Table2[[#This Row],[booking_date]]</f>
        <v>599</v>
      </c>
    </row>
    <row r="718" spans="1:13" x14ac:dyDescent="0.25">
      <c r="A718" s="4">
        <v>1024</v>
      </c>
      <c r="B718" s="3" t="s">
        <v>1950</v>
      </c>
      <c r="C718" s="4">
        <v>35</v>
      </c>
      <c r="D718" s="3" t="s">
        <v>68</v>
      </c>
      <c r="E718" s="5">
        <v>45886</v>
      </c>
      <c r="F718" s="5">
        <v>45875</v>
      </c>
      <c r="G718" s="3" t="s">
        <v>1951</v>
      </c>
      <c r="H718" s="3" t="s">
        <v>24</v>
      </c>
      <c r="I718" s="2">
        <v>270.14999999999998</v>
      </c>
      <c r="J718" s="3" t="s">
        <v>35</v>
      </c>
      <c r="K718">
        <f t="shared" si="22"/>
        <v>2025</v>
      </c>
      <c r="L718" t="str">
        <f t="shared" si="23"/>
        <v>31-40</v>
      </c>
      <c r="M718">
        <f>Table2[[#This Row],[appointment_date]]-Table2[[#This Row],[booking_date]]</f>
        <v>11</v>
      </c>
    </row>
    <row r="719" spans="1:13" x14ac:dyDescent="0.25">
      <c r="A719" s="4">
        <v>1061</v>
      </c>
      <c r="B719" s="3" t="s">
        <v>1952</v>
      </c>
      <c r="C719" s="4">
        <v>59</v>
      </c>
      <c r="D719" s="3" t="s">
        <v>37</v>
      </c>
      <c r="E719" s="5">
        <v>45942</v>
      </c>
      <c r="F719" s="5">
        <v>45823</v>
      </c>
      <c r="G719" s="3" t="s">
        <v>1953</v>
      </c>
      <c r="H719" s="3" t="s">
        <v>18</v>
      </c>
      <c r="I719" s="2">
        <v>207.45</v>
      </c>
      <c r="J719" s="3" t="s">
        <v>35</v>
      </c>
      <c r="K719">
        <f t="shared" si="22"/>
        <v>2025</v>
      </c>
      <c r="L719" t="str">
        <f t="shared" si="23"/>
        <v>51-60</v>
      </c>
      <c r="M719">
        <f>Table2[[#This Row],[appointment_date]]-Table2[[#This Row],[booking_date]]</f>
        <v>119</v>
      </c>
    </row>
    <row r="720" spans="1:13" x14ac:dyDescent="0.25">
      <c r="A720" s="4">
        <v>1095</v>
      </c>
      <c r="B720" s="3" t="s">
        <v>1955</v>
      </c>
      <c r="C720" s="4">
        <v>56</v>
      </c>
      <c r="D720" s="3" t="s">
        <v>68</v>
      </c>
      <c r="E720" s="5">
        <v>45812</v>
      </c>
      <c r="F720" s="5">
        <v>45441</v>
      </c>
      <c r="G720" s="3" t="s">
        <v>1956</v>
      </c>
      <c r="H720" s="3" t="s">
        <v>13</v>
      </c>
      <c r="I720" s="2">
        <v>3.69</v>
      </c>
      <c r="J720" s="3" t="s">
        <v>35</v>
      </c>
      <c r="K720">
        <f t="shared" si="22"/>
        <v>2025</v>
      </c>
      <c r="L720" t="str">
        <f t="shared" si="23"/>
        <v>51-60</v>
      </c>
      <c r="M720">
        <f>Table2[[#This Row],[appointment_date]]-Table2[[#This Row],[booking_date]]</f>
        <v>371</v>
      </c>
    </row>
    <row r="721" spans="1:13" x14ac:dyDescent="0.25">
      <c r="A721" s="4">
        <v>1048</v>
      </c>
      <c r="B721" s="3" t="s">
        <v>1958</v>
      </c>
      <c r="C721" s="4">
        <v>67</v>
      </c>
      <c r="D721" s="3" t="s">
        <v>68</v>
      </c>
      <c r="E721" s="5">
        <v>45988</v>
      </c>
      <c r="F721" s="5">
        <v>45503</v>
      </c>
      <c r="G721" s="3" t="s">
        <v>1959</v>
      </c>
      <c r="H721" s="3" t="s">
        <v>24</v>
      </c>
      <c r="I721" s="2">
        <v>3.14</v>
      </c>
      <c r="J721" s="3" t="s">
        <v>30</v>
      </c>
      <c r="K721">
        <f t="shared" si="22"/>
        <v>2025</v>
      </c>
      <c r="L721" t="str">
        <f t="shared" si="23"/>
        <v>61-70</v>
      </c>
      <c r="M721">
        <f>Table2[[#This Row],[appointment_date]]-Table2[[#This Row],[booking_date]]</f>
        <v>485</v>
      </c>
    </row>
    <row r="722" spans="1:13" x14ac:dyDescent="0.25">
      <c r="A722" s="4">
        <v>1033</v>
      </c>
      <c r="B722" s="3" t="s">
        <v>1961</v>
      </c>
      <c r="C722" s="4">
        <v>64</v>
      </c>
      <c r="D722" s="3" t="s">
        <v>37</v>
      </c>
      <c r="E722" s="5">
        <v>45916</v>
      </c>
      <c r="F722" s="5">
        <v>45680</v>
      </c>
      <c r="G722" s="3" t="s">
        <v>1962</v>
      </c>
      <c r="H722" s="3" t="s">
        <v>28</v>
      </c>
      <c r="I722" s="2">
        <v>1</v>
      </c>
      <c r="J722" s="3" t="s">
        <v>35</v>
      </c>
      <c r="K722">
        <f t="shared" si="22"/>
        <v>2025</v>
      </c>
      <c r="L722" t="str">
        <f t="shared" si="23"/>
        <v>61-70</v>
      </c>
      <c r="M722">
        <f>Table2[[#This Row],[appointment_date]]-Table2[[#This Row],[booking_date]]</f>
        <v>236</v>
      </c>
    </row>
    <row r="723" spans="1:13" x14ac:dyDescent="0.25">
      <c r="A723" s="4">
        <v>1085</v>
      </c>
      <c r="B723" s="3" t="s">
        <v>1964</v>
      </c>
      <c r="C723" s="4">
        <v>22</v>
      </c>
      <c r="D723" s="3" t="s">
        <v>37</v>
      </c>
      <c r="E723" s="5">
        <v>45932</v>
      </c>
      <c r="F723" s="5">
        <v>45842</v>
      </c>
      <c r="G723" s="3" t="s">
        <v>1965</v>
      </c>
      <c r="H723" s="3" t="s">
        <v>28</v>
      </c>
      <c r="I723" s="2">
        <v>5.48</v>
      </c>
      <c r="J723" s="3" t="s">
        <v>30</v>
      </c>
      <c r="K723">
        <f t="shared" si="22"/>
        <v>2025</v>
      </c>
      <c r="L723" t="str">
        <f t="shared" si="23"/>
        <v>18-30</v>
      </c>
      <c r="M723">
        <f>Table2[[#This Row],[appointment_date]]-Table2[[#This Row],[booking_date]]</f>
        <v>90</v>
      </c>
    </row>
    <row r="724" spans="1:13" x14ac:dyDescent="0.25">
      <c r="A724" s="4">
        <v>1003</v>
      </c>
      <c r="B724" s="3" t="s">
        <v>1967</v>
      </c>
      <c r="C724" s="4">
        <v>89</v>
      </c>
      <c r="D724" s="3" t="s">
        <v>37</v>
      </c>
      <c r="E724" s="5">
        <v>46013</v>
      </c>
      <c r="F724" s="5">
        <v>45724</v>
      </c>
      <c r="G724" s="3" t="s">
        <v>1968</v>
      </c>
      <c r="H724" s="3" t="s">
        <v>28</v>
      </c>
      <c r="I724" s="2">
        <v>508.18</v>
      </c>
      <c r="J724" s="3" t="s">
        <v>35</v>
      </c>
      <c r="K724">
        <f t="shared" si="22"/>
        <v>2025</v>
      </c>
      <c r="L724" t="str">
        <f t="shared" si="23"/>
        <v>81-90</v>
      </c>
      <c r="M724">
        <f>Table2[[#This Row],[appointment_date]]-Table2[[#This Row],[booking_date]]</f>
        <v>289</v>
      </c>
    </row>
    <row r="725" spans="1:13" x14ac:dyDescent="0.25">
      <c r="A725" s="4">
        <v>1030</v>
      </c>
      <c r="B725" s="3" t="s">
        <v>1970</v>
      </c>
      <c r="C725" s="4">
        <v>72</v>
      </c>
      <c r="D725" s="3" t="s">
        <v>37</v>
      </c>
      <c r="E725" s="5">
        <v>45787</v>
      </c>
      <c r="F725" s="5">
        <v>45715</v>
      </c>
      <c r="G725" s="3" t="s">
        <v>1130</v>
      </c>
      <c r="H725" s="3" t="s">
        <v>24</v>
      </c>
      <c r="I725" s="2">
        <v>290.66000000000003</v>
      </c>
      <c r="J725" s="3" t="s">
        <v>30</v>
      </c>
      <c r="K725">
        <f t="shared" si="22"/>
        <v>2025</v>
      </c>
      <c r="L725" t="str">
        <f t="shared" si="23"/>
        <v>71-80</v>
      </c>
      <c r="M725">
        <f>Table2[[#This Row],[appointment_date]]-Table2[[#This Row],[booking_date]]</f>
        <v>72</v>
      </c>
    </row>
    <row r="726" spans="1:13" x14ac:dyDescent="0.25">
      <c r="A726" s="4">
        <v>1083</v>
      </c>
      <c r="B726" s="3" t="s">
        <v>1972</v>
      </c>
      <c r="C726" s="4">
        <v>40</v>
      </c>
      <c r="D726" s="3" t="s">
        <v>37</v>
      </c>
      <c r="E726" s="5">
        <v>45966</v>
      </c>
      <c r="F726" s="5">
        <v>45519</v>
      </c>
      <c r="G726" s="3" t="s">
        <v>1973</v>
      </c>
      <c r="H726" s="3" t="s">
        <v>18</v>
      </c>
      <c r="I726" s="2">
        <v>3.43</v>
      </c>
      <c r="J726" s="3" t="s">
        <v>30</v>
      </c>
      <c r="K726">
        <f t="shared" si="22"/>
        <v>2025</v>
      </c>
      <c r="L726" t="str">
        <f t="shared" si="23"/>
        <v>31-40</v>
      </c>
      <c r="M726">
        <f>Table2[[#This Row],[appointment_date]]-Table2[[#This Row],[booking_date]]</f>
        <v>447</v>
      </c>
    </row>
    <row r="727" spans="1:13" x14ac:dyDescent="0.25">
      <c r="A727" s="4">
        <v>1004</v>
      </c>
      <c r="B727" s="3" t="s">
        <v>1975</v>
      </c>
      <c r="C727" s="4">
        <v>36</v>
      </c>
      <c r="D727" s="3" t="s">
        <v>37</v>
      </c>
      <c r="E727" s="5">
        <v>46047</v>
      </c>
      <c r="F727" s="5">
        <v>45595</v>
      </c>
      <c r="G727" s="3" t="s">
        <v>1976</v>
      </c>
      <c r="H727" s="3" t="s">
        <v>13</v>
      </c>
      <c r="I727" s="2">
        <v>178.32</v>
      </c>
      <c r="J727" s="3" t="s">
        <v>35</v>
      </c>
      <c r="K727">
        <f t="shared" si="22"/>
        <v>2026</v>
      </c>
      <c r="L727" t="str">
        <f t="shared" si="23"/>
        <v>31-40</v>
      </c>
      <c r="M727">
        <f>Table2[[#This Row],[appointment_date]]-Table2[[#This Row],[booking_date]]</f>
        <v>452</v>
      </c>
    </row>
    <row r="728" spans="1:13" x14ac:dyDescent="0.25">
      <c r="A728" s="4">
        <v>1051</v>
      </c>
      <c r="B728" s="3" t="s">
        <v>1978</v>
      </c>
      <c r="C728" s="4">
        <v>71</v>
      </c>
      <c r="D728" s="3" t="s">
        <v>37</v>
      </c>
      <c r="E728" s="5">
        <v>46049</v>
      </c>
      <c r="F728" s="5">
        <v>45723</v>
      </c>
      <c r="G728" s="3" t="s">
        <v>1979</v>
      </c>
      <c r="H728" s="3" t="s">
        <v>13</v>
      </c>
      <c r="I728" s="2">
        <v>542.96</v>
      </c>
      <c r="J728" s="3" t="s">
        <v>35</v>
      </c>
      <c r="K728">
        <f t="shared" si="22"/>
        <v>2026</v>
      </c>
      <c r="L728" t="str">
        <f t="shared" si="23"/>
        <v>71-80</v>
      </c>
      <c r="M728">
        <f>Table2[[#This Row],[appointment_date]]-Table2[[#This Row],[booking_date]]</f>
        <v>326</v>
      </c>
    </row>
    <row r="729" spans="1:13" x14ac:dyDescent="0.25">
      <c r="A729" s="4">
        <v>1059</v>
      </c>
      <c r="B729" s="3" t="s">
        <v>1981</v>
      </c>
      <c r="C729" s="4">
        <v>81</v>
      </c>
      <c r="D729" s="3" t="s">
        <v>37</v>
      </c>
      <c r="E729" s="5">
        <v>45744</v>
      </c>
      <c r="F729" s="5">
        <v>45704</v>
      </c>
      <c r="G729" s="3" t="s">
        <v>1982</v>
      </c>
      <c r="H729" s="3" t="s">
        <v>13</v>
      </c>
      <c r="I729" s="2">
        <v>5.23</v>
      </c>
      <c r="J729" s="3" t="s">
        <v>30</v>
      </c>
      <c r="K729">
        <f t="shared" si="22"/>
        <v>2025</v>
      </c>
      <c r="L729" t="str">
        <f t="shared" si="23"/>
        <v>81-90</v>
      </c>
      <c r="M729">
        <f>Table2[[#This Row],[appointment_date]]-Table2[[#This Row],[booking_date]]</f>
        <v>40</v>
      </c>
    </row>
    <row r="730" spans="1:13" x14ac:dyDescent="0.25">
      <c r="A730" s="4">
        <v>1044</v>
      </c>
      <c r="B730" s="3" t="s">
        <v>1984</v>
      </c>
      <c r="C730" s="4">
        <v>21</v>
      </c>
      <c r="D730" s="3" t="s">
        <v>68</v>
      </c>
      <c r="E730" s="5">
        <v>45765</v>
      </c>
      <c r="F730" s="5">
        <v>45559</v>
      </c>
      <c r="G730" s="3" t="s">
        <v>1985</v>
      </c>
      <c r="H730" s="3" t="s">
        <v>28</v>
      </c>
      <c r="I730" s="2">
        <v>156.1</v>
      </c>
      <c r="J730" s="3" t="s">
        <v>35</v>
      </c>
      <c r="K730">
        <f t="shared" si="22"/>
        <v>2025</v>
      </c>
      <c r="L730" t="str">
        <f t="shared" si="23"/>
        <v>18-30</v>
      </c>
      <c r="M730">
        <f>Table2[[#This Row],[appointment_date]]-Table2[[#This Row],[booking_date]]</f>
        <v>206</v>
      </c>
    </row>
    <row r="731" spans="1:13" x14ac:dyDescent="0.25">
      <c r="A731" s="4">
        <v>1068</v>
      </c>
      <c r="B731" s="3" t="s">
        <v>1986</v>
      </c>
      <c r="C731" s="4">
        <v>87</v>
      </c>
      <c r="D731" s="3"/>
      <c r="E731" s="5">
        <v>45899</v>
      </c>
      <c r="F731" s="5">
        <v>45641</v>
      </c>
      <c r="G731" s="3" t="s">
        <v>1987</v>
      </c>
      <c r="H731" s="3" t="s">
        <v>28</v>
      </c>
      <c r="I731" s="2">
        <v>246.13</v>
      </c>
      <c r="J731" s="3" t="s">
        <v>30</v>
      </c>
      <c r="K731">
        <f t="shared" si="22"/>
        <v>2025</v>
      </c>
      <c r="L731" t="str">
        <f t="shared" si="23"/>
        <v>81-90</v>
      </c>
      <c r="M731">
        <f>Table2[[#This Row],[appointment_date]]-Table2[[#This Row],[booking_date]]</f>
        <v>258</v>
      </c>
    </row>
    <row r="732" spans="1:13" x14ac:dyDescent="0.25">
      <c r="A732" s="4">
        <v>1024</v>
      </c>
      <c r="B732" s="3" t="s">
        <v>1988</v>
      </c>
      <c r="C732" s="4">
        <v>60</v>
      </c>
      <c r="D732" s="3" t="s">
        <v>37</v>
      </c>
      <c r="E732" s="5">
        <v>45858</v>
      </c>
      <c r="F732" s="5">
        <v>45617</v>
      </c>
      <c r="G732" s="3" t="s">
        <v>1989</v>
      </c>
      <c r="H732" s="3" t="s">
        <v>13</v>
      </c>
      <c r="I732" s="2">
        <v>3.75</v>
      </c>
      <c r="J732" s="3" t="s">
        <v>30</v>
      </c>
      <c r="K732">
        <f t="shared" si="22"/>
        <v>2025</v>
      </c>
      <c r="L732" t="str">
        <f t="shared" si="23"/>
        <v>51-60</v>
      </c>
      <c r="M732">
        <f>Table2[[#This Row],[appointment_date]]-Table2[[#This Row],[booking_date]]</f>
        <v>241</v>
      </c>
    </row>
    <row r="733" spans="1:13" x14ac:dyDescent="0.25">
      <c r="A733" s="4">
        <v>1010</v>
      </c>
      <c r="B733" s="3" t="s">
        <v>1991</v>
      </c>
      <c r="C733" s="4">
        <v>72</v>
      </c>
      <c r="D733" s="3" t="s">
        <v>37</v>
      </c>
      <c r="E733" s="5">
        <v>46069</v>
      </c>
      <c r="F733" s="5">
        <v>45480</v>
      </c>
      <c r="G733" s="3" t="s">
        <v>1992</v>
      </c>
      <c r="H733" s="3" t="s">
        <v>28</v>
      </c>
      <c r="I733" s="2">
        <v>235.81</v>
      </c>
      <c r="J733" s="3" t="s">
        <v>30</v>
      </c>
      <c r="K733">
        <f t="shared" si="22"/>
        <v>2026</v>
      </c>
      <c r="L733" t="str">
        <f t="shared" si="23"/>
        <v>71-80</v>
      </c>
      <c r="M733">
        <f>Table2[[#This Row],[appointment_date]]-Table2[[#This Row],[booking_date]]</f>
        <v>589</v>
      </c>
    </row>
    <row r="734" spans="1:13" x14ac:dyDescent="0.25">
      <c r="A734" s="4">
        <v>1099</v>
      </c>
      <c r="B734" s="3" t="s">
        <v>1993</v>
      </c>
      <c r="C734" s="4">
        <v>25</v>
      </c>
      <c r="D734" s="3" t="s">
        <v>68</v>
      </c>
      <c r="E734" s="5">
        <v>45768</v>
      </c>
      <c r="F734" s="5">
        <v>45555</v>
      </c>
      <c r="G734" s="3" t="s">
        <v>1994</v>
      </c>
      <c r="H734" s="3" t="s">
        <v>13</v>
      </c>
      <c r="I734" s="2">
        <v>221.06</v>
      </c>
      <c r="J734" s="3" t="s">
        <v>30</v>
      </c>
      <c r="K734">
        <f t="shared" si="22"/>
        <v>2025</v>
      </c>
      <c r="L734" t="str">
        <f t="shared" si="23"/>
        <v>18-30</v>
      </c>
      <c r="M734">
        <f>Table2[[#This Row],[appointment_date]]-Table2[[#This Row],[booking_date]]</f>
        <v>213</v>
      </c>
    </row>
    <row r="735" spans="1:13" x14ac:dyDescent="0.25">
      <c r="A735" s="4">
        <v>1060</v>
      </c>
      <c r="B735" s="3" t="s">
        <v>1996</v>
      </c>
      <c r="C735" s="4">
        <v>39</v>
      </c>
      <c r="D735" s="3" t="s">
        <v>68</v>
      </c>
      <c r="E735" s="5">
        <v>46031</v>
      </c>
      <c r="F735" s="5">
        <v>45828</v>
      </c>
      <c r="G735" s="3" t="s">
        <v>1997</v>
      </c>
      <c r="H735" s="3" t="s">
        <v>13</v>
      </c>
      <c r="I735" s="2">
        <v>468.48</v>
      </c>
      <c r="J735" s="3" t="s">
        <v>30</v>
      </c>
      <c r="K735">
        <f t="shared" si="22"/>
        <v>2026</v>
      </c>
      <c r="L735" t="str">
        <f t="shared" si="23"/>
        <v>31-40</v>
      </c>
      <c r="M735">
        <f>Table2[[#This Row],[appointment_date]]-Table2[[#This Row],[booking_date]]</f>
        <v>203</v>
      </c>
    </row>
    <row r="736" spans="1:13" x14ac:dyDescent="0.25">
      <c r="A736" s="4">
        <v>1044</v>
      </c>
      <c r="B736" s="3" t="s">
        <v>1999</v>
      </c>
      <c r="C736" s="4">
        <v>63</v>
      </c>
      <c r="D736" s="3" t="s">
        <v>37</v>
      </c>
      <c r="E736" s="5">
        <v>45919</v>
      </c>
      <c r="F736" s="5">
        <v>45695</v>
      </c>
      <c r="G736" s="3" t="s">
        <v>2000</v>
      </c>
      <c r="H736" s="3" t="s">
        <v>28</v>
      </c>
      <c r="I736" s="2">
        <v>552.41999999999996</v>
      </c>
      <c r="J736" s="3" t="s">
        <v>30</v>
      </c>
      <c r="K736">
        <f t="shared" si="22"/>
        <v>2025</v>
      </c>
      <c r="L736" t="str">
        <f t="shared" si="23"/>
        <v>61-70</v>
      </c>
      <c r="M736">
        <f>Table2[[#This Row],[appointment_date]]-Table2[[#This Row],[booking_date]]</f>
        <v>224</v>
      </c>
    </row>
    <row r="737" spans="1:13" x14ac:dyDescent="0.25">
      <c r="A737" s="4">
        <v>1047</v>
      </c>
      <c r="B737" s="3" t="s">
        <v>2002</v>
      </c>
      <c r="C737" s="4">
        <v>33</v>
      </c>
      <c r="D737" s="3" t="s">
        <v>68</v>
      </c>
      <c r="E737" s="5">
        <v>46071</v>
      </c>
      <c r="F737" s="5">
        <v>45445</v>
      </c>
      <c r="G737" s="3" t="s">
        <v>2003</v>
      </c>
      <c r="H737" s="3" t="s">
        <v>28</v>
      </c>
      <c r="I737" s="2">
        <v>307.29000000000002</v>
      </c>
      <c r="J737" s="3" t="s">
        <v>35</v>
      </c>
      <c r="K737">
        <f t="shared" si="22"/>
        <v>2026</v>
      </c>
      <c r="L737" t="str">
        <f t="shared" si="23"/>
        <v>31-40</v>
      </c>
      <c r="M737">
        <f>Table2[[#This Row],[appointment_date]]-Table2[[#This Row],[booking_date]]</f>
        <v>626</v>
      </c>
    </row>
    <row r="738" spans="1:13" x14ac:dyDescent="0.25">
      <c r="A738" s="4">
        <v>1063</v>
      </c>
      <c r="B738" s="3" t="s">
        <v>2004</v>
      </c>
      <c r="C738" s="4">
        <v>88</v>
      </c>
      <c r="D738" s="3" t="s">
        <v>37</v>
      </c>
      <c r="E738" s="5">
        <v>45995</v>
      </c>
      <c r="F738" s="5">
        <v>45941</v>
      </c>
      <c r="G738" s="3" t="s">
        <v>2005</v>
      </c>
      <c r="H738" s="3" t="s">
        <v>18</v>
      </c>
      <c r="I738" s="2">
        <v>2.96</v>
      </c>
      <c r="J738" s="3" t="s">
        <v>30</v>
      </c>
      <c r="K738">
        <f t="shared" si="22"/>
        <v>2025</v>
      </c>
      <c r="L738" t="str">
        <f t="shared" si="23"/>
        <v>81-90</v>
      </c>
      <c r="M738">
        <f>Table2[[#This Row],[appointment_date]]-Table2[[#This Row],[booking_date]]</f>
        <v>54</v>
      </c>
    </row>
    <row r="739" spans="1:13" x14ac:dyDescent="0.25">
      <c r="A739" s="4">
        <v>1036</v>
      </c>
      <c r="B739" s="3" t="s">
        <v>2007</v>
      </c>
      <c r="C739" s="4">
        <v>44</v>
      </c>
      <c r="D739" s="3" t="s">
        <v>68</v>
      </c>
      <c r="E739" s="5">
        <v>45943</v>
      </c>
      <c r="F739" s="5">
        <v>45459</v>
      </c>
      <c r="G739" s="3" t="s">
        <v>2008</v>
      </c>
      <c r="H739" s="3" t="s">
        <v>18</v>
      </c>
      <c r="I739" s="2">
        <v>278.85000000000002</v>
      </c>
      <c r="J739" s="3" t="s">
        <v>35</v>
      </c>
      <c r="K739">
        <f t="shared" si="22"/>
        <v>2025</v>
      </c>
      <c r="L739" t="str">
        <f t="shared" si="23"/>
        <v>41-50</v>
      </c>
      <c r="M739">
        <f>Table2[[#This Row],[appointment_date]]-Table2[[#This Row],[booking_date]]</f>
        <v>484</v>
      </c>
    </row>
    <row r="740" spans="1:13" x14ac:dyDescent="0.25">
      <c r="A740" s="4">
        <v>1002</v>
      </c>
      <c r="B740" s="3" t="s">
        <v>2010</v>
      </c>
      <c r="C740" s="4">
        <v>28</v>
      </c>
      <c r="D740" s="3" t="s">
        <v>37</v>
      </c>
      <c r="E740" s="5">
        <v>45810</v>
      </c>
      <c r="F740" s="5">
        <v>45464</v>
      </c>
      <c r="G740" s="3" t="s">
        <v>2011</v>
      </c>
      <c r="H740" s="3" t="s">
        <v>24</v>
      </c>
      <c r="I740" s="2">
        <v>270.70999999999998</v>
      </c>
      <c r="J740" s="3" t="s">
        <v>30</v>
      </c>
      <c r="K740">
        <f t="shared" si="22"/>
        <v>2025</v>
      </c>
      <c r="L740" t="str">
        <f t="shared" si="23"/>
        <v>18-30</v>
      </c>
      <c r="M740">
        <f>Table2[[#This Row],[appointment_date]]-Table2[[#This Row],[booking_date]]</f>
        <v>346</v>
      </c>
    </row>
    <row r="741" spans="1:13" x14ac:dyDescent="0.25">
      <c r="A741" s="4">
        <v>1075</v>
      </c>
      <c r="B741" s="3" t="s">
        <v>2012</v>
      </c>
      <c r="C741" s="4">
        <v>25</v>
      </c>
      <c r="D741" s="3" t="s">
        <v>37</v>
      </c>
      <c r="E741" s="5">
        <v>45903</v>
      </c>
      <c r="F741" s="5">
        <v>45592</v>
      </c>
      <c r="G741" s="3" t="s">
        <v>2013</v>
      </c>
      <c r="H741" s="3" t="s">
        <v>18</v>
      </c>
      <c r="I741" s="2">
        <v>253.36</v>
      </c>
      <c r="J741" s="3" t="s">
        <v>35</v>
      </c>
      <c r="K741">
        <f t="shared" si="22"/>
        <v>2025</v>
      </c>
      <c r="L741" t="str">
        <f t="shared" si="23"/>
        <v>18-30</v>
      </c>
      <c r="M741">
        <f>Table2[[#This Row],[appointment_date]]-Table2[[#This Row],[booking_date]]</f>
        <v>311</v>
      </c>
    </row>
    <row r="742" spans="1:13" x14ac:dyDescent="0.25">
      <c r="A742" s="4">
        <v>1090</v>
      </c>
      <c r="B742" s="3" t="s">
        <v>2014</v>
      </c>
      <c r="C742" s="4">
        <v>85</v>
      </c>
      <c r="D742" s="3" t="s">
        <v>68</v>
      </c>
      <c r="E742" s="5">
        <v>46042</v>
      </c>
      <c r="F742" s="5">
        <v>45726</v>
      </c>
      <c r="G742" s="3" t="s">
        <v>2015</v>
      </c>
      <c r="H742" s="3" t="s">
        <v>24</v>
      </c>
      <c r="I742" s="2">
        <v>192.87</v>
      </c>
      <c r="J742" s="3" t="s">
        <v>30</v>
      </c>
      <c r="K742">
        <f t="shared" si="22"/>
        <v>2026</v>
      </c>
      <c r="L742" t="str">
        <f t="shared" si="23"/>
        <v>81-90</v>
      </c>
      <c r="M742">
        <f>Table2[[#This Row],[appointment_date]]-Table2[[#This Row],[booking_date]]</f>
        <v>316</v>
      </c>
    </row>
    <row r="743" spans="1:13" x14ac:dyDescent="0.25">
      <c r="A743" s="4">
        <v>1000</v>
      </c>
      <c r="B743" s="3" t="s">
        <v>2016</v>
      </c>
      <c r="C743" s="4">
        <v>18</v>
      </c>
      <c r="D743" s="3" t="s">
        <v>68</v>
      </c>
      <c r="E743" s="5">
        <v>45883</v>
      </c>
      <c r="F743" s="5">
        <v>45757</v>
      </c>
      <c r="G743" s="3" t="s">
        <v>2017</v>
      </c>
      <c r="H743" s="3" t="s">
        <v>18</v>
      </c>
      <c r="I743" s="2">
        <v>3.98</v>
      </c>
      <c r="J743" s="3" t="s">
        <v>30</v>
      </c>
      <c r="K743">
        <f t="shared" si="22"/>
        <v>2025</v>
      </c>
      <c r="L743" t="str">
        <f t="shared" si="23"/>
        <v>18-30</v>
      </c>
      <c r="M743">
        <f>Table2[[#This Row],[appointment_date]]-Table2[[#This Row],[booking_date]]</f>
        <v>126</v>
      </c>
    </row>
    <row r="744" spans="1:13" x14ac:dyDescent="0.25">
      <c r="A744" s="4">
        <v>1073</v>
      </c>
      <c r="B744" s="3" t="s">
        <v>2019</v>
      </c>
      <c r="C744" s="4">
        <v>75</v>
      </c>
      <c r="D744" s="3"/>
      <c r="E744" s="5">
        <v>46028</v>
      </c>
      <c r="F744" s="5">
        <v>45710</v>
      </c>
      <c r="G744" s="3" t="s">
        <v>2020</v>
      </c>
      <c r="H744" s="3" t="s">
        <v>28</v>
      </c>
      <c r="I744" s="2">
        <v>407.8</v>
      </c>
      <c r="J744" s="3" t="s">
        <v>30</v>
      </c>
      <c r="K744">
        <f t="shared" si="22"/>
        <v>2026</v>
      </c>
      <c r="L744" t="str">
        <f t="shared" si="23"/>
        <v>71-80</v>
      </c>
      <c r="M744">
        <f>Table2[[#This Row],[appointment_date]]-Table2[[#This Row],[booking_date]]</f>
        <v>318</v>
      </c>
    </row>
    <row r="745" spans="1:13" x14ac:dyDescent="0.25">
      <c r="A745" s="4">
        <v>1075</v>
      </c>
      <c r="B745" s="3" t="s">
        <v>2022</v>
      </c>
      <c r="C745" s="4">
        <v>73</v>
      </c>
      <c r="D745" s="3" t="s">
        <v>68</v>
      </c>
      <c r="E745" s="5">
        <v>45752</v>
      </c>
      <c r="F745" s="5">
        <v>45646</v>
      </c>
      <c r="G745" s="3" t="s">
        <v>2023</v>
      </c>
      <c r="H745" s="3" t="s">
        <v>24</v>
      </c>
      <c r="I745" s="2">
        <v>348.18</v>
      </c>
      <c r="J745" s="3" t="s">
        <v>30</v>
      </c>
      <c r="K745">
        <f t="shared" si="22"/>
        <v>2025</v>
      </c>
      <c r="L745" t="str">
        <f t="shared" si="23"/>
        <v>71-80</v>
      </c>
      <c r="M745">
        <f>Table2[[#This Row],[appointment_date]]-Table2[[#This Row],[booking_date]]</f>
        <v>106</v>
      </c>
    </row>
    <row r="746" spans="1:13" x14ac:dyDescent="0.25">
      <c r="A746" s="4">
        <v>1033</v>
      </c>
      <c r="B746" s="3" t="s">
        <v>2024</v>
      </c>
      <c r="C746" s="4">
        <v>58</v>
      </c>
      <c r="D746" s="3" t="s">
        <v>68</v>
      </c>
      <c r="E746" s="5">
        <v>45801</v>
      </c>
      <c r="F746" s="5">
        <v>45544</v>
      </c>
      <c r="G746" s="3" t="s">
        <v>2025</v>
      </c>
      <c r="H746" s="3" t="s">
        <v>18</v>
      </c>
      <c r="I746" s="2">
        <v>396.9</v>
      </c>
      <c r="J746" s="3" t="s">
        <v>35</v>
      </c>
      <c r="K746">
        <f t="shared" si="22"/>
        <v>2025</v>
      </c>
      <c r="L746" t="str">
        <f t="shared" si="23"/>
        <v>51-60</v>
      </c>
      <c r="M746">
        <f>Table2[[#This Row],[appointment_date]]-Table2[[#This Row],[booking_date]]</f>
        <v>257</v>
      </c>
    </row>
    <row r="747" spans="1:13" x14ac:dyDescent="0.25">
      <c r="A747" s="4">
        <v>1051</v>
      </c>
      <c r="B747" s="3" t="s">
        <v>973</v>
      </c>
      <c r="C747" s="4">
        <v>52</v>
      </c>
      <c r="D747" s="3" t="s">
        <v>68</v>
      </c>
      <c r="E747" s="5">
        <v>45961</v>
      </c>
      <c r="F747" s="5">
        <v>45536</v>
      </c>
      <c r="G747" s="3" t="s">
        <v>2027</v>
      </c>
      <c r="H747" s="3" t="s">
        <v>24</v>
      </c>
      <c r="I747" s="2"/>
      <c r="J747" s="3" t="s">
        <v>30</v>
      </c>
      <c r="K747">
        <f t="shared" si="22"/>
        <v>2025</v>
      </c>
      <c r="L747" t="str">
        <f t="shared" si="23"/>
        <v>51-60</v>
      </c>
      <c r="M747">
        <f>Table2[[#This Row],[appointment_date]]-Table2[[#This Row],[booking_date]]</f>
        <v>425</v>
      </c>
    </row>
    <row r="748" spans="1:13" x14ac:dyDescent="0.25">
      <c r="A748" s="4">
        <v>1021</v>
      </c>
      <c r="B748" s="3" t="s">
        <v>2028</v>
      </c>
      <c r="C748" s="4">
        <v>41</v>
      </c>
      <c r="D748" s="3" t="s">
        <v>68</v>
      </c>
      <c r="E748" s="5">
        <v>45911</v>
      </c>
      <c r="F748" s="5">
        <v>45626</v>
      </c>
      <c r="G748" s="3" t="s">
        <v>2029</v>
      </c>
      <c r="H748" s="3" t="s">
        <v>28</v>
      </c>
      <c r="I748" s="2">
        <v>473.2</v>
      </c>
      <c r="J748" s="3" t="s">
        <v>30</v>
      </c>
      <c r="K748">
        <f t="shared" si="22"/>
        <v>2025</v>
      </c>
      <c r="L748" t="str">
        <f t="shared" si="23"/>
        <v>41-50</v>
      </c>
      <c r="M748">
        <f>Table2[[#This Row],[appointment_date]]-Table2[[#This Row],[booking_date]]</f>
        <v>285</v>
      </c>
    </row>
    <row r="749" spans="1:13" x14ac:dyDescent="0.25">
      <c r="A749" s="4">
        <v>1052</v>
      </c>
      <c r="B749" s="3" t="s">
        <v>2030</v>
      </c>
      <c r="C749" s="4">
        <v>80</v>
      </c>
      <c r="D749" s="3" t="s">
        <v>37</v>
      </c>
      <c r="E749" s="5">
        <v>45781</v>
      </c>
      <c r="F749" s="5">
        <v>45555</v>
      </c>
      <c r="G749" s="3" t="s">
        <v>2031</v>
      </c>
      <c r="H749" s="3" t="s">
        <v>13</v>
      </c>
      <c r="I749" s="2">
        <v>124.09</v>
      </c>
      <c r="J749" s="3" t="s">
        <v>30</v>
      </c>
      <c r="K749">
        <f t="shared" si="22"/>
        <v>2025</v>
      </c>
      <c r="L749" t="str">
        <f t="shared" si="23"/>
        <v>71-80</v>
      </c>
      <c r="M749">
        <f>Table2[[#This Row],[appointment_date]]-Table2[[#This Row],[booking_date]]</f>
        <v>226</v>
      </c>
    </row>
    <row r="750" spans="1:13" x14ac:dyDescent="0.25">
      <c r="A750" s="4">
        <v>1028</v>
      </c>
      <c r="B750" s="3" t="s">
        <v>2032</v>
      </c>
      <c r="C750" s="4">
        <v>24</v>
      </c>
      <c r="D750" s="3" t="s">
        <v>37</v>
      </c>
      <c r="E750" s="5">
        <v>46085</v>
      </c>
      <c r="F750" s="5">
        <v>45749</v>
      </c>
      <c r="G750" s="3" t="s">
        <v>2033</v>
      </c>
      <c r="H750" s="3" t="s">
        <v>28</v>
      </c>
      <c r="I750" s="2">
        <v>58.6</v>
      </c>
      <c r="J750" s="3" t="s">
        <v>35</v>
      </c>
      <c r="K750">
        <f t="shared" si="22"/>
        <v>2026</v>
      </c>
      <c r="L750" t="str">
        <f t="shared" si="23"/>
        <v>18-30</v>
      </c>
      <c r="M750">
        <f>Table2[[#This Row],[appointment_date]]-Table2[[#This Row],[booking_date]]</f>
        <v>336</v>
      </c>
    </row>
    <row r="751" spans="1:13" x14ac:dyDescent="0.25">
      <c r="A751" s="4">
        <v>1062</v>
      </c>
      <c r="B751" s="3" t="s">
        <v>2035</v>
      </c>
      <c r="C751" s="4">
        <v>23</v>
      </c>
      <c r="D751" s="3" t="s">
        <v>37</v>
      </c>
      <c r="E751" s="5">
        <v>46051</v>
      </c>
      <c r="F751" s="5">
        <v>45474</v>
      </c>
      <c r="G751" s="3" t="s">
        <v>2036</v>
      </c>
      <c r="H751" s="3" t="s">
        <v>18</v>
      </c>
      <c r="I751" s="2">
        <v>151.03</v>
      </c>
      <c r="J751" s="3" t="s">
        <v>30</v>
      </c>
      <c r="K751">
        <f t="shared" si="22"/>
        <v>2026</v>
      </c>
      <c r="L751" t="str">
        <f t="shared" si="23"/>
        <v>18-30</v>
      </c>
      <c r="M751">
        <f>Table2[[#This Row],[appointment_date]]-Table2[[#This Row],[booking_date]]</f>
        <v>577</v>
      </c>
    </row>
    <row r="752" spans="1:13" x14ac:dyDescent="0.25">
      <c r="A752" s="4">
        <v>1088</v>
      </c>
      <c r="B752" s="3" t="s">
        <v>2037</v>
      </c>
      <c r="C752" s="4">
        <v>80</v>
      </c>
      <c r="D752" s="3" t="s">
        <v>37</v>
      </c>
      <c r="E752" s="5">
        <v>45839</v>
      </c>
      <c r="F752" s="5">
        <v>45608</v>
      </c>
      <c r="G752" s="3" t="s">
        <v>2038</v>
      </c>
      <c r="H752" s="3" t="s">
        <v>28</v>
      </c>
      <c r="I752" s="2">
        <v>4.59</v>
      </c>
      <c r="J752" s="3" t="s">
        <v>35</v>
      </c>
      <c r="K752">
        <f t="shared" si="22"/>
        <v>2025</v>
      </c>
      <c r="L752" t="str">
        <f t="shared" si="23"/>
        <v>71-80</v>
      </c>
      <c r="M752">
        <f>Table2[[#This Row],[appointment_date]]-Table2[[#This Row],[booking_date]]</f>
        <v>231</v>
      </c>
    </row>
    <row r="753" spans="1:13" x14ac:dyDescent="0.25">
      <c r="A753" s="4">
        <v>1028</v>
      </c>
      <c r="B753" s="3" t="s">
        <v>2040</v>
      </c>
      <c r="C753" s="4">
        <v>26</v>
      </c>
      <c r="D753" s="3" t="s">
        <v>37</v>
      </c>
      <c r="E753" s="5">
        <v>45915</v>
      </c>
      <c r="F753" s="5">
        <v>45790</v>
      </c>
      <c r="G753" s="3" t="s">
        <v>2041</v>
      </c>
      <c r="H753" s="3" t="s">
        <v>13</v>
      </c>
      <c r="I753" s="2">
        <v>112.9</v>
      </c>
      <c r="J753" s="3" t="s">
        <v>35</v>
      </c>
      <c r="K753">
        <f t="shared" si="22"/>
        <v>2025</v>
      </c>
      <c r="L753" t="str">
        <f t="shared" si="23"/>
        <v>18-30</v>
      </c>
      <c r="M753">
        <f>Table2[[#This Row],[appointment_date]]-Table2[[#This Row],[booking_date]]</f>
        <v>125</v>
      </c>
    </row>
    <row r="754" spans="1:13" x14ac:dyDescent="0.25">
      <c r="A754" s="4">
        <v>1050</v>
      </c>
      <c r="B754" s="3" t="s">
        <v>2042</v>
      </c>
      <c r="C754" s="4">
        <v>65</v>
      </c>
      <c r="D754" s="3" t="s">
        <v>68</v>
      </c>
      <c r="E754" s="5">
        <v>46085</v>
      </c>
      <c r="F754" s="5">
        <v>45444</v>
      </c>
      <c r="G754" s="3" t="s">
        <v>2043</v>
      </c>
      <c r="H754" s="3" t="s">
        <v>28</v>
      </c>
      <c r="I754" s="2">
        <v>1.39</v>
      </c>
      <c r="J754" s="3" t="s">
        <v>35</v>
      </c>
      <c r="K754">
        <f t="shared" si="22"/>
        <v>2026</v>
      </c>
      <c r="L754" t="str">
        <f t="shared" si="23"/>
        <v>61-70</v>
      </c>
      <c r="M754">
        <f>Table2[[#This Row],[appointment_date]]-Table2[[#This Row],[booking_date]]</f>
        <v>641</v>
      </c>
    </row>
    <row r="755" spans="1:13" x14ac:dyDescent="0.25">
      <c r="A755" s="4">
        <v>1004</v>
      </c>
      <c r="B755" s="3" t="s">
        <v>2045</v>
      </c>
      <c r="C755" s="4">
        <v>54</v>
      </c>
      <c r="D755" s="3" t="s">
        <v>68</v>
      </c>
      <c r="E755" s="5">
        <v>45903</v>
      </c>
      <c r="F755" s="5">
        <v>45708</v>
      </c>
      <c r="G755" s="3" t="s">
        <v>2046</v>
      </c>
      <c r="H755" s="3" t="s">
        <v>13</v>
      </c>
      <c r="I755" s="2">
        <v>207.37</v>
      </c>
      <c r="J755" s="3" t="s">
        <v>30</v>
      </c>
      <c r="K755">
        <f t="shared" si="22"/>
        <v>2025</v>
      </c>
      <c r="L755" t="str">
        <f t="shared" si="23"/>
        <v>51-60</v>
      </c>
      <c r="M755">
        <f>Table2[[#This Row],[appointment_date]]-Table2[[#This Row],[booking_date]]</f>
        <v>195</v>
      </c>
    </row>
    <row r="756" spans="1:13" x14ac:dyDescent="0.25">
      <c r="A756" s="4">
        <v>1044</v>
      </c>
      <c r="B756" s="3" t="s">
        <v>2048</v>
      </c>
      <c r="C756" s="4">
        <v>58</v>
      </c>
      <c r="D756" s="3" t="s">
        <v>68</v>
      </c>
      <c r="E756" s="5">
        <v>45818</v>
      </c>
      <c r="F756" s="5">
        <v>45506</v>
      </c>
      <c r="G756" s="3" t="s">
        <v>2049</v>
      </c>
      <c r="H756" s="3" t="s">
        <v>18</v>
      </c>
      <c r="I756" s="2" t="s">
        <v>2693</v>
      </c>
      <c r="J756" s="3" t="s">
        <v>30</v>
      </c>
      <c r="K756">
        <f t="shared" si="22"/>
        <v>2025</v>
      </c>
      <c r="L756" t="str">
        <f t="shared" si="23"/>
        <v>51-60</v>
      </c>
      <c r="M756">
        <f>Table2[[#This Row],[appointment_date]]-Table2[[#This Row],[booking_date]]</f>
        <v>312</v>
      </c>
    </row>
    <row r="757" spans="1:13" x14ac:dyDescent="0.25">
      <c r="A757" s="4">
        <v>1030</v>
      </c>
      <c r="B757" s="3" t="s">
        <v>2050</v>
      </c>
      <c r="C757" s="4">
        <v>42</v>
      </c>
      <c r="D757" s="3" t="s">
        <v>68</v>
      </c>
      <c r="E757" s="5">
        <v>45954</v>
      </c>
      <c r="F757" s="5">
        <v>45623</v>
      </c>
      <c r="G757" s="3" t="s">
        <v>2051</v>
      </c>
      <c r="H757" s="3" t="s">
        <v>24</v>
      </c>
      <c r="I757" s="2">
        <v>289.97000000000003</v>
      </c>
      <c r="J757" s="3" t="s">
        <v>35</v>
      </c>
      <c r="K757">
        <f t="shared" si="22"/>
        <v>2025</v>
      </c>
      <c r="L757" t="str">
        <f t="shared" si="23"/>
        <v>41-50</v>
      </c>
      <c r="M757">
        <f>Table2[[#This Row],[appointment_date]]-Table2[[#This Row],[booking_date]]</f>
        <v>331</v>
      </c>
    </row>
    <row r="758" spans="1:13" x14ac:dyDescent="0.25">
      <c r="A758" s="4">
        <v>1073</v>
      </c>
      <c r="B758" s="3" t="s">
        <v>2053</v>
      </c>
      <c r="C758" s="4">
        <v>84</v>
      </c>
      <c r="D758" s="3" t="s">
        <v>68</v>
      </c>
      <c r="E758" s="5">
        <v>45929</v>
      </c>
      <c r="F758" s="5">
        <v>45467</v>
      </c>
      <c r="G758" s="3" t="s">
        <v>2054</v>
      </c>
      <c r="H758" s="3" t="s">
        <v>24</v>
      </c>
      <c r="I758" s="2">
        <v>534.33000000000004</v>
      </c>
      <c r="J758" s="3" t="s">
        <v>30</v>
      </c>
      <c r="K758">
        <f t="shared" si="22"/>
        <v>2025</v>
      </c>
      <c r="L758" t="str">
        <f t="shared" si="23"/>
        <v>81-90</v>
      </c>
      <c r="M758">
        <f>Table2[[#This Row],[appointment_date]]-Table2[[#This Row],[booking_date]]</f>
        <v>462</v>
      </c>
    </row>
    <row r="759" spans="1:13" x14ac:dyDescent="0.25">
      <c r="A759" s="4">
        <v>1018</v>
      </c>
      <c r="B759" s="3" t="s">
        <v>2056</v>
      </c>
      <c r="C759" s="4">
        <v>55</v>
      </c>
      <c r="D759" s="3" t="s">
        <v>68</v>
      </c>
      <c r="E759" s="5">
        <v>46014</v>
      </c>
      <c r="F759" s="5">
        <v>45711</v>
      </c>
      <c r="G759" s="3" t="s">
        <v>2057</v>
      </c>
      <c r="H759" s="3" t="s">
        <v>24</v>
      </c>
      <c r="I759" s="2">
        <v>343.62</v>
      </c>
      <c r="J759" s="3" t="s">
        <v>30</v>
      </c>
      <c r="K759">
        <f t="shared" si="22"/>
        <v>2025</v>
      </c>
      <c r="L759" t="str">
        <f t="shared" si="23"/>
        <v>51-60</v>
      </c>
      <c r="M759">
        <f>Table2[[#This Row],[appointment_date]]-Table2[[#This Row],[booking_date]]</f>
        <v>303</v>
      </c>
    </row>
    <row r="760" spans="1:13" x14ac:dyDescent="0.25">
      <c r="A760" s="4">
        <v>1062</v>
      </c>
      <c r="B760" s="3" t="s">
        <v>2059</v>
      </c>
      <c r="C760" s="4">
        <v>84</v>
      </c>
      <c r="D760" s="3" t="s">
        <v>37</v>
      </c>
      <c r="E760" s="5">
        <v>45896</v>
      </c>
      <c r="F760" s="5">
        <v>45445</v>
      </c>
      <c r="G760" s="3" t="s">
        <v>2060</v>
      </c>
      <c r="H760" s="3" t="s">
        <v>13</v>
      </c>
      <c r="I760" s="2">
        <v>2.09</v>
      </c>
      <c r="J760" s="3" t="s">
        <v>30</v>
      </c>
      <c r="K760">
        <f t="shared" si="22"/>
        <v>2025</v>
      </c>
      <c r="L760" t="str">
        <f t="shared" si="23"/>
        <v>81-90</v>
      </c>
      <c r="M760">
        <f>Table2[[#This Row],[appointment_date]]-Table2[[#This Row],[booking_date]]</f>
        <v>451</v>
      </c>
    </row>
    <row r="761" spans="1:13" x14ac:dyDescent="0.25">
      <c r="A761" s="4">
        <v>1014</v>
      </c>
      <c r="B761" s="3" t="s">
        <v>2062</v>
      </c>
      <c r="C761" s="4">
        <v>67</v>
      </c>
      <c r="D761" s="3" t="s">
        <v>37</v>
      </c>
      <c r="E761" s="5">
        <v>46107</v>
      </c>
      <c r="F761" s="5">
        <v>46088</v>
      </c>
      <c r="G761" s="3" t="s">
        <v>2063</v>
      </c>
      <c r="H761" s="3" t="s">
        <v>28</v>
      </c>
      <c r="I761" s="2">
        <v>3.1</v>
      </c>
      <c r="J761" s="3" t="s">
        <v>30</v>
      </c>
      <c r="K761">
        <f t="shared" si="22"/>
        <v>2026</v>
      </c>
      <c r="L761" t="str">
        <f t="shared" si="23"/>
        <v>61-70</v>
      </c>
      <c r="M761">
        <f>Table2[[#This Row],[appointment_date]]-Table2[[#This Row],[booking_date]]</f>
        <v>19</v>
      </c>
    </row>
    <row r="762" spans="1:13" x14ac:dyDescent="0.25">
      <c r="A762" s="4">
        <v>1030</v>
      </c>
      <c r="B762" s="3" t="s">
        <v>2065</v>
      </c>
      <c r="C762" s="4">
        <v>40</v>
      </c>
      <c r="D762" s="3" t="s">
        <v>68</v>
      </c>
      <c r="E762" s="5">
        <v>45994</v>
      </c>
      <c r="F762" s="5">
        <v>45908</v>
      </c>
      <c r="G762" s="3" t="s">
        <v>2066</v>
      </c>
      <c r="H762" s="3" t="s">
        <v>18</v>
      </c>
      <c r="I762" s="2">
        <v>2.78</v>
      </c>
      <c r="J762" s="3" t="s">
        <v>35</v>
      </c>
      <c r="K762">
        <f t="shared" si="22"/>
        <v>2025</v>
      </c>
      <c r="L762" t="str">
        <f t="shared" si="23"/>
        <v>31-40</v>
      </c>
      <c r="M762">
        <f>Table2[[#This Row],[appointment_date]]-Table2[[#This Row],[booking_date]]</f>
        <v>86</v>
      </c>
    </row>
    <row r="763" spans="1:13" x14ac:dyDescent="0.25">
      <c r="A763" s="4">
        <v>1081</v>
      </c>
      <c r="B763" s="3" t="s">
        <v>2068</v>
      </c>
      <c r="C763" s="4">
        <v>72</v>
      </c>
      <c r="D763" s="3" t="s">
        <v>37</v>
      </c>
      <c r="E763" s="5">
        <v>45751</v>
      </c>
      <c r="F763" s="5">
        <v>45643</v>
      </c>
      <c r="G763" s="3" t="s">
        <v>2069</v>
      </c>
      <c r="H763" s="3" t="s">
        <v>28</v>
      </c>
      <c r="I763" s="2">
        <v>528.01</v>
      </c>
      <c r="J763" s="3" t="s">
        <v>30</v>
      </c>
      <c r="K763">
        <f t="shared" si="22"/>
        <v>2025</v>
      </c>
      <c r="L763" t="str">
        <f t="shared" si="23"/>
        <v>71-80</v>
      </c>
      <c r="M763">
        <f>Table2[[#This Row],[appointment_date]]-Table2[[#This Row],[booking_date]]</f>
        <v>108</v>
      </c>
    </row>
    <row r="764" spans="1:13" x14ac:dyDescent="0.25">
      <c r="A764" s="4">
        <v>1065</v>
      </c>
      <c r="B764" s="3" t="s">
        <v>2071</v>
      </c>
      <c r="C764" s="4">
        <v>32</v>
      </c>
      <c r="D764" s="3" t="s">
        <v>68</v>
      </c>
      <c r="E764" s="5">
        <v>45790</v>
      </c>
      <c r="F764" s="5">
        <v>45525</v>
      </c>
      <c r="G764" s="3" t="s">
        <v>2072</v>
      </c>
      <c r="H764" s="3" t="s">
        <v>13</v>
      </c>
      <c r="I764" s="2">
        <v>4.3099999999999996</v>
      </c>
      <c r="J764" s="3" t="s">
        <v>35</v>
      </c>
      <c r="K764">
        <f t="shared" si="22"/>
        <v>2025</v>
      </c>
      <c r="L764" t="str">
        <f t="shared" si="23"/>
        <v>31-40</v>
      </c>
      <c r="M764">
        <f>Table2[[#This Row],[appointment_date]]-Table2[[#This Row],[booking_date]]</f>
        <v>265</v>
      </c>
    </row>
    <row r="765" spans="1:13" x14ac:dyDescent="0.25">
      <c r="A765" s="4">
        <v>1081</v>
      </c>
      <c r="B765" s="3" t="s">
        <v>2074</v>
      </c>
      <c r="C765" s="4">
        <v>65</v>
      </c>
      <c r="D765" s="3" t="s">
        <v>37</v>
      </c>
      <c r="E765" s="5">
        <v>45937</v>
      </c>
      <c r="F765" s="5">
        <v>45635</v>
      </c>
      <c r="G765" s="3" t="s">
        <v>2075</v>
      </c>
      <c r="H765" s="3" t="s">
        <v>18</v>
      </c>
      <c r="I765" s="2" t="s">
        <v>2693</v>
      </c>
      <c r="J765" s="3" t="s">
        <v>30</v>
      </c>
      <c r="K765">
        <f t="shared" si="22"/>
        <v>2025</v>
      </c>
      <c r="L765" t="str">
        <f t="shared" si="23"/>
        <v>61-70</v>
      </c>
      <c r="M765">
        <f>Table2[[#This Row],[appointment_date]]-Table2[[#This Row],[booking_date]]</f>
        <v>302</v>
      </c>
    </row>
    <row r="766" spans="1:13" x14ac:dyDescent="0.25">
      <c r="A766" s="4">
        <v>1017</v>
      </c>
      <c r="B766" s="3" t="s">
        <v>2076</v>
      </c>
      <c r="C766" s="4">
        <v>82</v>
      </c>
      <c r="D766" s="3" t="s">
        <v>37</v>
      </c>
      <c r="E766" s="5">
        <v>46037</v>
      </c>
      <c r="F766" s="5">
        <v>45862</v>
      </c>
      <c r="G766" s="3" t="s">
        <v>2077</v>
      </c>
      <c r="H766" s="3" t="s">
        <v>28</v>
      </c>
      <c r="I766" s="2">
        <v>175.4</v>
      </c>
      <c r="J766" s="3" t="s">
        <v>30</v>
      </c>
      <c r="K766">
        <f t="shared" si="22"/>
        <v>2026</v>
      </c>
      <c r="L766" t="str">
        <f t="shared" si="23"/>
        <v>81-90</v>
      </c>
      <c r="M766">
        <f>Table2[[#This Row],[appointment_date]]-Table2[[#This Row],[booking_date]]</f>
        <v>175</v>
      </c>
    </row>
    <row r="767" spans="1:13" x14ac:dyDescent="0.25">
      <c r="A767" s="4">
        <v>1001</v>
      </c>
      <c r="B767" s="3" t="s">
        <v>2079</v>
      </c>
      <c r="C767" s="4">
        <v>61</v>
      </c>
      <c r="D767" s="3" t="s">
        <v>68</v>
      </c>
      <c r="E767" s="5">
        <v>45954</v>
      </c>
      <c r="F767" s="5">
        <v>45890</v>
      </c>
      <c r="G767" s="3" t="s">
        <v>2080</v>
      </c>
      <c r="H767" s="3" t="s">
        <v>18</v>
      </c>
      <c r="I767" s="2">
        <v>0.9</v>
      </c>
      <c r="J767" s="3" t="s">
        <v>35</v>
      </c>
      <c r="K767">
        <f t="shared" si="22"/>
        <v>2025</v>
      </c>
      <c r="L767" t="str">
        <f t="shared" si="23"/>
        <v>61-70</v>
      </c>
      <c r="M767">
        <f>Table2[[#This Row],[appointment_date]]-Table2[[#This Row],[booking_date]]</f>
        <v>64</v>
      </c>
    </row>
    <row r="768" spans="1:13" x14ac:dyDescent="0.25">
      <c r="A768" s="4">
        <v>1042</v>
      </c>
      <c r="B768" s="3" t="s">
        <v>2082</v>
      </c>
      <c r="C768" s="4">
        <v>75</v>
      </c>
      <c r="D768" s="3" t="s">
        <v>68</v>
      </c>
      <c r="E768" s="5">
        <v>46008</v>
      </c>
      <c r="F768" s="5">
        <v>45557</v>
      </c>
      <c r="G768" s="3" t="s">
        <v>2083</v>
      </c>
      <c r="H768" s="3" t="s">
        <v>24</v>
      </c>
      <c r="I768" s="2">
        <v>582.75</v>
      </c>
      <c r="J768" s="3" t="s">
        <v>30</v>
      </c>
      <c r="K768">
        <f t="shared" si="22"/>
        <v>2025</v>
      </c>
      <c r="L768" t="str">
        <f t="shared" si="23"/>
        <v>71-80</v>
      </c>
      <c r="M768">
        <f>Table2[[#This Row],[appointment_date]]-Table2[[#This Row],[booking_date]]</f>
        <v>451</v>
      </c>
    </row>
    <row r="769" spans="1:13" x14ac:dyDescent="0.25">
      <c r="A769" s="4">
        <v>1015</v>
      </c>
      <c r="B769" s="3" t="s">
        <v>2085</v>
      </c>
      <c r="C769" s="4">
        <v>35</v>
      </c>
      <c r="D769" s="3" t="s">
        <v>37</v>
      </c>
      <c r="E769" s="5">
        <v>45959</v>
      </c>
      <c r="F769" s="5">
        <v>45821</v>
      </c>
      <c r="G769" s="3" t="s">
        <v>2086</v>
      </c>
      <c r="H769" s="3" t="s">
        <v>28</v>
      </c>
      <c r="I769" s="2">
        <v>595.53</v>
      </c>
      <c r="J769" s="3" t="s">
        <v>30</v>
      </c>
      <c r="K769">
        <f t="shared" si="22"/>
        <v>2025</v>
      </c>
      <c r="L769" t="str">
        <f t="shared" si="23"/>
        <v>31-40</v>
      </c>
      <c r="M769">
        <f>Table2[[#This Row],[appointment_date]]-Table2[[#This Row],[booking_date]]</f>
        <v>138</v>
      </c>
    </row>
    <row r="770" spans="1:13" x14ac:dyDescent="0.25">
      <c r="A770" s="4">
        <v>1098</v>
      </c>
      <c r="B770" s="3" t="s">
        <v>2088</v>
      </c>
      <c r="C770" s="4">
        <v>66</v>
      </c>
      <c r="D770" s="3" t="s">
        <v>37</v>
      </c>
      <c r="E770" s="5">
        <v>45794</v>
      </c>
      <c r="F770" s="5">
        <v>45533</v>
      </c>
      <c r="G770" s="3" t="s">
        <v>2089</v>
      </c>
      <c r="H770" s="3" t="s">
        <v>24</v>
      </c>
      <c r="I770" s="2">
        <v>139.99</v>
      </c>
      <c r="J770" s="3" t="s">
        <v>30</v>
      </c>
      <c r="K770">
        <f t="shared" si="22"/>
        <v>2025</v>
      </c>
      <c r="L770" t="str">
        <f t="shared" si="23"/>
        <v>61-70</v>
      </c>
      <c r="M770">
        <f>Table2[[#This Row],[appointment_date]]-Table2[[#This Row],[booking_date]]</f>
        <v>261</v>
      </c>
    </row>
    <row r="771" spans="1:13" x14ac:dyDescent="0.25">
      <c r="A771" s="4">
        <v>1099</v>
      </c>
      <c r="B771" s="3" t="s">
        <v>594</v>
      </c>
      <c r="C771" s="4">
        <v>42</v>
      </c>
      <c r="D771" s="3" t="s">
        <v>68</v>
      </c>
      <c r="E771" s="5">
        <v>45868</v>
      </c>
      <c r="F771" s="5">
        <v>45725</v>
      </c>
      <c r="G771" s="3" t="s">
        <v>2090</v>
      </c>
      <c r="H771" s="3" t="s">
        <v>13</v>
      </c>
      <c r="I771" s="2">
        <v>522.82000000000005</v>
      </c>
      <c r="J771" s="3" t="s">
        <v>35</v>
      </c>
      <c r="K771">
        <f t="shared" ref="K771:K834" si="24">YEAR(E771)</f>
        <v>2025</v>
      </c>
      <c r="L771" t="str">
        <f t="shared" ref="L771:L834" si="25">IF(C771="","",IF(C771&lt;=30,"18-30",IF(C771&lt;=40,"31-40",IF(C771&lt;=50,"41-50",IF(C771&lt;=60,"51-60",IF(C771&lt;=70,"61-70",IF(C771&lt;=80,"71-80","81-90")))))))</f>
        <v>41-50</v>
      </c>
      <c r="M771">
        <f>Table2[[#This Row],[appointment_date]]-Table2[[#This Row],[booking_date]]</f>
        <v>143</v>
      </c>
    </row>
    <row r="772" spans="1:13" x14ac:dyDescent="0.25">
      <c r="A772" s="4">
        <v>1032</v>
      </c>
      <c r="B772" s="3" t="s">
        <v>2092</v>
      </c>
      <c r="C772" s="4">
        <v>19</v>
      </c>
      <c r="D772" s="3" t="s">
        <v>37</v>
      </c>
      <c r="E772" s="5">
        <v>45907</v>
      </c>
      <c r="F772" s="5">
        <v>45442</v>
      </c>
      <c r="G772" s="3" t="s">
        <v>2093</v>
      </c>
      <c r="H772" s="3" t="s">
        <v>13</v>
      </c>
      <c r="I772" s="2">
        <v>330.88</v>
      </c>
      <c r="J772" s="3" t="s">
        <v>35</v>
      </c>
      <c r="K772">
        <f t="shared" si="24"/>
        <v>2025</v>
      </c>
      <c r="L772" t="str">
        <f t="shared" si="25"/>
        <v>18-30</v>
      </c>
      <c r="M772">
        <f>Table2[[#This Row],[appointment_date]]-Table2[[#This Row],[booking_date]]</f>
        <v>465</v>
      </c>
    </row>
    <row r="773" spans="1:13" x14ac:dyDescent="0.25">
      <c r="A773" s="4">
        <v>1034</v>
      </c>
      <c r="B773" s="3" t="s">
        <v>2095</v>
      </c>
      <c r="C773" s="4">
        <v>41</v>
      </c>
      <c r="D773" s="3" t="s">
        <v>68</v>
      </c>
      <c r="E773" s="5">
        <v>46056</v>
      </c>
      <c r="F773" s="5">
        <v>45934</v>
      </c>
      <c r="G773" s="3" t="s">
        <v>2096</v>
      </c>
      <c r="H773" s="3" t="s">
        <v>13</v>
      </c>
      <c r="I773" s="2">
        <v>602.61</v>
      </c>
      <c r="J773" s="3" t="s">
        <v>35</v>
      </c>
      <c r="K773">
        <f t="shared" si="24"/>
        <v>2026</v>
      </c>
      <c r="L773" t="str">
        <f t="shared" si="25"/>
        <v>41-50</v>
      </c>
      <c r="M773">
        <f>Table2[[#This Row],[appointment_date]]-Table2[[#This Row],[booking_date]]</f>
        <v>122</v>
      </c>
    </row>
    <row r="774" spans="1:13" x14ac:dyDescent="0.25">
      <c r="A774" s="4">
        <v>1005</v>
      </c>
      <c r="B774" s="3" t="s">
        <v>1679</v>
      </c>
      <c r="C774" s="4">
        <v>27</v>
      </c>
      <c r="D774" s="3" t="s">
        <v>37</v>
      </c>
      <c r="E774" s="5">
        <v>45984</v>
      </c>
      <c r="F774" s="5">
        <v>45394</v>
      </c>
      <c r="G774" s="3" t="s">
        <v>2098</v>
      </c>
      <c r="H774" s="3" t="s">
        <v>28</v>
      </c>
      <c r="I774" s="2">
        <v>63.9</v>
      </c>
      <c r="J774" s="3" t="s">
        <v>35</v>
      </c>
      <c r="K774">
        <f t="shared" si="24"/>
        <v>2025</v>
      </c>
      <c r="L774" t="str">
        <f t="shared" si="25"/>
        <v>18-30</v>
      </c>
      <c r="M774">
        <f>Table2[[#This Row],[appointment_date]]-Table2[[#This Row],[booking_date]]</f>
        <v>590</v>
      </c>
    </row>
    <row r="775" spans="1:13" x14ac:dyDescent="0.25">
      <c r="A775" s="4">
        <v>1050</v>
      </c>
      <c r="B775" s="3" t="s">
        <v>2100</v>
      </c>
      <c r="C775" s="4">
        <v>21</v>
      </c>
      <c r="D775" s="3" t="s">
        <v>37</v>
      </c>
      <c r="E775" s="5">
        <v>45853</v>
      </c>
      <c r="F775" s="5">
        <v>45496</v>
      </c>
      <c r="G775" s="3" t="s">
        <v>2101</v>
      </c>
      <c r="H775" s="3" t="s">
        <v>24</v>
      </c>
      <c r="I775" s="2">
        <v>513.42999999999995</v>
      </c>
      <c r="J775" s="3" t="s">
        <v>30</v>
      </c>
      <c r="K775">
        <f t="shared" si="24"/>
        <v>2025</v>
      </c>
      <c r="L775" t="str">
        <f t="shared" si="25"/>
        <v>18-30</v>
      </c>
      <c r="M775">
        <f>Table2[[#This Row],[appointment_date]]-Table2[[#This Row],[booking_date]]</f>
        <v>357</v>
      </c>
    </row>
    <row r="776" spans="1:13" x14ac:dyDescent="0.25">
      <c r="A776" s="4">
        <v>1069</v>
      </c>
      <c r="B776" s="3" t="s">
        <v>2103</v>
      </c>
      <c r="C776" s="4">
        <v>20</v>
      </c>
      <c r="D776" s="3" t="s">
        <v>68</v>
      </c>
      <c r="E776" s="5">
        <v>45778</v>
      </c>
      <c r="F776" s="5">
        <v>45775</v>
      </c>
      <c r="G776" s="3" t="s">
        <v>2104</v>
      </c>
      <c r="H776" s="3" t="s">
        <v>18</v>
      </c>
      <c r="I776" s="2">
        <v>272.41000000000003</v>
      </c>
      <c r="J776" s="3" t="s">
        <v>30</v>
      </c>
      <c r="K776">
        <f t="shared" si="24"/>
        <v>2025</v>
      </c>
      <c r="L776" t="str">
        <f t="shared" si="25"/>
        <v>18-30</v>
      </c>
      <c r="M776">
        <f>Table2[[#This Row],[appointment_date]]-Table2[[#This Row],[booking_date]]</f>
        <v>3</v>
      </c>
    </row>
    <row r="777" spans="1:13" x14ac:dyDescent="0.25">
      <c r="A777" s="4">
        <v>1001</v>
      </c>
      <c r="B777" s="3" t="s">
        <v>2106</v>
      </c>
      <c r="C777" s="4">
        <v>84</v>
      </c>
      <c r="D777" s="3" t="s">
        <v>68</v>
      </c>
      <c r="E777" s="5">
        <v>46065</v>
      </c>
      <c r="F777" s="5">
        <v>45464</v>
      </c>
      <c r="G777" s="3" t="s">
        <v>2107</v>
      </c>
      <c r="H777" s="3" t="s">
        <v>13</v>
      </c>
      <c r="I777" s="2">
        <v>268.72000000000003</v>
      </c>
      <c r="J777" s="3" t="s">
        <v>30</v>
      </c>
      <c r="K777">
        <f t="shared" si="24"/>
        <v>2026</v>
      </c>
      <c r="L777" t="str">
        <f t="shared" si="25"/>
        <v>81-90</v>
      </c>
      <c r="M777">
        <f>Table2[[#This Row],[appointment_date]]-Table2[[#This Row],[booking_date]]</f>
        <v>601</v>
      </c>
    </row>
    <row r="778" spans="1:13" x14ac:dyDescent="0.25">
      <c r="A778" s="4">
        <v>1066</v>
      </c>
      <c r="B778" s="3" t="s">
        <v>2109</v>
      </c>
      <c r="C778" s="4">
        <v>74</v>
      </c>
      <c r="D778" s="3" t="s">
        <v>37</v>
      </c>
      <c r="E778" s="5">
        <v>45800</v>
      </c>
      <c r="F778" s="5">
        <v>45652</v>
      </c>
      <c r="G778" s="3" t="s">
        <v>2110</v>
      </c>
      <c r="H778" s="3" t="s">
        <v>18</v>
      </c>
      <c r="I778" s="2">
        <v>5.35</v>
      </c>
      <c r="J778" s="3" t="s">
        <v>35</v>
      </c>
      <c r="K778">
        <f t="shared" si="24"/>
        <v>2025</v>
      </c>
      <c r="L778" t="str">
        <f t="shared" si="25"/>
        <v>71-80</v>
      </c>
      <c r="M778">
        <f>Table2[[#This Row],[appointment_date]]-Table2[[#This Row],[booking_date]]</f>
        <v>148</v>
      </c>
    </row>
    <row r="779" spans="1:13" x14ac:dyDescent="0.25">
      <c r="A779" s="4">
        <v>1018</v>
      </c>
      <c r="B779" s="3" t="s">
        <v>2112</v>
      </c>
      <c r="C779" s="4">
        <v>70</v>
      </c>
      <c r="D779" s="3" t="s">
        <v>37</v>
      </c>
      <c r="E779" s="5">
        <v>45778</v>
      </c>
      <c r="F779" s="5">
        <v>45552</v>
      </c>
      <c r="G779" s="3" t="s">
        <v>2113</v>
      </c>
      <c r="H779" s="3" t="s">
        <v>13</v>
      </c>
      <c r="I779" s="2">
        <v>82.15</v>
      </c>
      <c r="J779" s="3" t="s">
        <v>35</v>
      </c>
      <c r="K779">
        <f t="shared" si="24"/>
        <v>2025</v>
      </c>
      <c r="L779" t="str">
        <f t="shared" si="25"/>
        <v>61-70</v>
      </c>
      <c r="M779">
        <f>Table2[[#This Row],[appointment_date]]-Table2[[#This Row],[booking_date]]</f>
        <v>226</v>
      </c>
    </row>
    <row r="780" spans="1:13" x14ac:dyDescent="0.25">
      <c r="A780" s="4">
        <v>1033</v>
      </c>
      <c r="B780" s="3" t="s">
        <v>2115</v>
      </c>
      <c r="C780" s="4">
        <v>75</v>
      </c>
      <c r="D780" s="3" t="s">
        <v>37</v>
      </c>
      <c r="E780" s="5">
        <v>46075</v>
      </c>
      <c r="F780" s="5">
        <v>45713</v>
      </c>
      <c r="G780" s="3" t="s">
        <v>2116</v>
      </c>
      <c r="H780" s="3" t="s">
        <v>28</v>
      </c>
      <c r="I780" s="2">
        <v>192.56</v>
      </c>
      <c r="J780" s="3" t="s">
        <v>35</v>
      </c>
      <c r="K780">
        <f t="shared" si="24"/>
        <v>2026</v>
      </c>
      <c r="L780" t="str">
        <f t="shared" si="25"/>
        <v>71-80</v>
      </c>
      <c r="M780">
        <f>Table2[[#This Row],[appointment_date]]-Table2[[#This Row],[booking_date]]</f>
        <v>362</v>
      </c>
    </row>
    <row r="781" spans="1:13" x14ac:dyDescent="0.25">
      <c r="A781" s="4">
        <v>1094</v>
      </c>
      <c r="B781" s="3" t="s">
        <v>2118</v>
      </c>
      <c r="C781" s="4">
        <v>87</v>
      </c>
      <c r="D781" s="3" t="s">
        <v>68</v>
      </c>
      <c r="E781" s="5">
        <v>45952</v>
      </c>
      <c r="F781" s="5">
        <v>45716</v>
      </c>
      <c r="G781" s="3" t="s">
        <v>2119</v>
      </c>
      <c r="H781" s="3" t="s">
        <v>13</v>
      </c>
      <c r="I781" s="2">
        <v>103.22</v>
      </c>
      <c r="J781" s="3" t="s">
        <v>35</v>
      </c>
      <c r="K781">
        <f t="shared" si="24"/>
        <v>2025</v>
      </c>
      <c r="L781" t="str">
        <f t="shared" si="25"/>
        <v>81-90</v>
      </c>
      <c r="M781">
        <f>Table2[[#This Row],[appointment_date]]-Table2[[#This Row],[booking_date]]</f>
        <v>236</v>
      </c>
    </row>
    <row r="782" spans="1:13" x14ac:dyDescent="0.25">
      <c r="A782" s="4">
        <v>1078</v>
      </c>
      <c r="B782" s="3" t="s">
        <v>2121</v>
      </c>
      <c r="C782" s="4">
        <v>52</v>
      </c>
      <c r="D782" s="3" t="s">
        <v>37</v>
      </c>
      <c r="E782" s="5">
        <v>45985</v>
      </c>
      <c r="F782" s="5">
        <v>45422</v>
      </c>
      <c r="G782" s="3" t="s">
        <v>2122</v>
      </c>
      <c r="H782" s="3" t="s">
        <v>13</v>
      </c>
      <c r="I782" s="2">
        <v>1.81</v>
      </c>
      <c r="J782" s="3" t="s">
        <v>30</v>
      </c>
      <c r="K782">
        <f t="shared" si="24"/>
        <v>2025</v>
      </c>
      <c r="L782" t="str">
        <f t="shared" si="25"/>
        <v>51-60</v>
      </c>
      <c r="M782">
        <f>Table2[[#This Row],[appointment_date]]-Table2[[#This Row],[booking_date]]</f>
        <v>563</v>
      </c>
    </row>
    <row r="783" spans="1:13" x14ac:dyDescent="0.25">
      <c r="A783" s="4">
        <v>1072</v>
      </c>
      <c r="B783" s="3" t="s">
        <v>2124</v>
      </c>
      <c r="C783" s="4">
        <v>86</v>
      </c>
      <c r="D783" s="3" t="s">
        <v>37</v>
      </c>
      <c r="E783" s="5">
        <v>45842</v>
      </c>
      <c r="F783" s="5">
        <v>45676</v>
      </c>
      <c r="G783" s="3" t="s">
        <v>2125</v>
      </c>
      <c r="H783" s="3" t="s">
        <v>18</v>
      </c>
      <c r="I783" s="2">
        <v>74.84</v>
      </c>
      <c r="J783" s="3" t="s">
        <v>35</v>
      </c>
      <c r="K783">
        <f t="shared" si="24"/>
        <v>2025</v>
      </c>
      <c r="L783" t="str">
        <f t="shared" si="25"/>
        <v>81-90</v>
      </c>
      <c r="M783">
        <f>Table2[[#This Row],[appointment_date]]-Table2[[#This Row],[booking_date]]</f>
        <v>166</v>
      </c>
    </row>
    <row r="784" spans="1:13" x14ac:dyDescent="0.25">
      <c r="A784" s="4">
        <v>1011</v>
      </c>
      <c r="B784" s="3" t="s">
        <v>2126</v>
      </c>
      <c r="C784" s="4">
        <v>65</v>
      </c>
      <c r="D784" s="3" t="s">
        <v>37</v>
      </c>
      <c r="E784" s="5">
        <v>45923</v>
      </c>
      <c r="F784" s="5">
        <v>45383</v>
      </c>
      <c r="G784" s="3" t="s">
        <v>31</v>
      </c>
      <c r="H784" s="3" t="s">
        <v>18</v>
      </c>
      <c r="I784" s="2">
        <v>2.5299999999999998</v>
      </c>
      <c r="J784" s="3" t="s">
        <v>35</v>
      </c>
      <c r="K784">
        <f t="shared" si="24"/>
        <v>2025</v>
      </c>
      <c r="L784" t="str">
        <f t="shared" si="25"/>
        <v>61-70</v>
      </c>
      <c r="M784">
        <f>Table2[[#This Row],[appointment_date]]-Table2[[#This Row],[booking_date]]</f>
        <v>540</v>
      </c>
    </row>
    <row r="785" spans="1:13" x14ac:dyDescent="0.25">
      <c r="A785" s="4">
        <v>1045</v>
      </c>
      <c r="B785" s="3" t="s">
        <v>2128</v>
      </c>
      <c r="C785" s="4">
        <v>65</v>
      </c>
      <c r="D785" s="3" t="s">
        <v>68</v>
      </c>
      <c r="E785" s="5">
        <v>45744</v>
      </c>
      <c r="F785" s="5">
        <v>45661</v>
      </c>
      <c r="G785" s="3" t="s">
        <v>2129</v>
      </c>
      <c r="H785" s="3" t="s">
        <v>18</v>
      </c>
      <c r="I785" s="2">
        <v>341.23</v>
      </c>
      <c r="J785" s="3" t="s">
        <v>30</v>
      </c>
      <c r="K785">
        <f t="shared" si="24"/>
        <v>2025</v>
      </c>
      <c r="L785" t="str">
        <f t="shared" si="25"/>
        <v>61-70</v>
      </c>
      <c r="M785">
        <f>Table2[[#This Row],[appointment_date]]-Table2[[#This Row],[booking_date]]</f>
        <v>83</v>
      </c>
    </row>
    <row r="786" spans="1:13" x14ac:dyDescent="0.25">
      <c r="A786" s="4">
        <v>1095</v>
      </c>
      <c r="B786" s="3" t="s">
        <v>162</v>
      </c>
      <c r="C786" s="4">
        <v>73</v>
      </c>
      <c r="D786" s="3" t="s">
        <v>68</v>
      </c>
      <c r="E786" s="5">
        <v>46022</v>
      </c>
      <c r="F786" s="5">
        <v>45640</v>
      </c>
      <c r="G786" s="3" t="s">
        <v>2131</v>
      </c>
      <c r="H786" s="3" t="s">
        <v>24</v>
      </c>
      <c r="I786" s="2">
        <v>365.91</v>
      </c>
      <c r="J786" s="3" t="s">
        <v>35</v>
      </c>
      <c r="K786">
        <f t="shared" si="24"/>
        <v>2025</v>
      </c>
      <c r="L786" t="str">
        <f t="shared" si="25"/>
        <v>71-80</v>
      </c>
      <c r="M786">
        <f>Table2[[#This Row],[appointment_date]]-Table2[[#This Row],[booking_date]]</f>
        <v>382</v>
      </c>
    </row>
    <row r="787" spans="1:13" x14ac:dyDescent="0.25">
      <c r="A787" s="4">
        <v>1074</v>
      </c>
      <c r="B787" s="3" t="s">
        <v>2133</v>
      </c>
      <c r="C787" s="4">
        <v>64</v>
      </c>
      <c r="D787" s="3" t="s">
        <v>68</v>
      </c>
      <c r="E787" s="5">
        <v>46095</v>
      </c>
      <c r="F787" s="5">
        <v>46063</v>
      </c>
      <c r="G787" s="3" t="s">
        <v>2134</v>
      </c>
      <c r="H787" s="3" t="s">
        <v>24</v>
      </c>
      <c r="I787" s="2">
        <v>199.19</v>
      </c>
      <c r="J787" s="3" t="s">
        <v>35</v>
      </c>
      <c r="K787">
        <f t="shared" si="24"/>
        <v>2026</v>
      </c>
      <c r="L787" t="str">
        <f t="shared" si="25"/>
        <v>61-70</v>
      </c>
      <c r="M787">
        <f>Table2[[#This Row],[appointment_date]]-Table2[[#This Row],[booking_date]]</f>
        <v>32</v>
      </c>
    </row>
    <row r="788" spans="1:13" x14ac:dyDescent="0.25">
      <c r="A788" s="4">
        <v>1080</v>
      </c>
      <c r="B788" s="3" t="s">
        <v>2136</v>
      </c>
      <c r="C788" s="4">
        <v>49</v>
      </c>
      <c r="D788" s="3" t="s">
        <v>68</v>
      </c>
      <c r="E788" s="5">
        <v>45960</v>
      </c>
      <c r="F788" s="5">
        <v>45820</v>
      </c>
      <c r="G788" s="3" t="s">
        <v>2137</v>
      </c>
      <c r="H788" s="3" t="s">
        <v>24</v>
      </c>
      <c r="I788" s="2">
        <v>4.5199999999999996</v>
      </c>
      <c r="J788" s="3" t="s">
        <v>30</v>
      </c>
      <c r="K788">
        <f t="shared" si="24"/>
        <v>2025</v>
      </c>
      <c r="L788" t="str">
        <f t="shared" si="25"/>
        <v>41-50</v>
      </c>
      <c r="M788">
        <f>Table2[[#This Row],[appointment_date]]-Table2[[#This Row],[booking_date]]</f>
        <v>140</v>
      </c>
    </row>
    <row r="789" spans="1:13" x14ac:dyDescent="0.25">
      <c r="A789" s="4">
        <v>1069</v>
      </c>
      <c r="B789" s="3" t="s">
        <v>2139</v>
      </c>
      <c r="C789" s="4">
        <v>48</v>
      </c>
      <c r="D789" s="3" t="s">
        <v>37</v>
      </c>
      <c r="E789" s="5">
        <v>45931</v>
      </c>
      <c r="F789" s="5">
        <v>45599</v>
      </c>
      <c r="G789" s="3" t="s">
        <v>2140</v>
      </c>
      <c r="H789" s="3" t="s">
        <v>13</v>
      </c>
      <c r="I789" s="2">
        <v>97.46</v>
      </c>
      <c r="J789" s="3" t="s">
        <v>30</v>
      </c>
      <c r="K789">
        <f t="shared" si="24"/>
        <v>2025</v>
      </c>
      <c r="L789" t="str">
        <f t="shared" si="25"/>
        <v>41-50</v>
      </c>
      <c r="M789">
        <f>Table2[[#This Row],[appointment_date]]-Table2[[#This Row],[booking_date]]</f>
        <v>332</v>
      </c>
    </row>
    <row r="790" spans="1:13" x14ac:dyDescent="0.25">
      <c r="A790" s="4">
        <v>1051</v>
      </c>
      <c r="B790" s="3" t="s">
        <v>2141</v>
      </c>
      <c r="C790" s="4">
        <v>63</v>
      </c>
      <c r="D790" s="3" t="s">
        <v>37</v>
      </c>
      <c r="E790" s="5">
        <v>46083</v>
      </c>
      <c r="F790" s="5">
        <v>45720</v>
      </c>
      <c r="G790" s="3" t="s">
        <v>2142</v>
      </c>
      <c r="H790" s="3" t="s">
        <v>28</v>
      </c>
      <c r="I790" s="2">
        <v>1.28</v>
      </c>
      <c r="J790" s="3" t="s">
        <v>35</v>
      </c>
      <c r="K790">
        <f t="shared" si="24"/>
        <v>2026</v>
      </c>
      <c r="L790" t="str">
        <f t="shared" si="25"/>
        <v>61-70</v>
      </c>
      <c r="M790">
        <f>Table2[[#This Row],[appointment_date]]-Table2[[#This Row],[booking_date]]</f>
        <v>363</v>
      </c>
    </row>
    <row r="791" spans="1:13" x14ac:dyDescent="0.25">
      <c r="A791" s="4">
        <v>1092</v>
      </c>
      <c r="B791" s="3" t="s">
        <v>2144</v>
      </c>
      <c r="C791" s="4">
        <v>44</v>
      </c>
      <c r="D791" s="3" t="s">
        <v>37</v>
      </c>
      <c r="E791" s="5">
        <v>45992</v>
      </c>
      <c r="F791" s="5">
        <v>45504</v>
      </c>
      <c r="G791" s="3" t="s">
        <v>2145</v>
      </c>
      <c r="H791" s="3" t="s">
        <v>18</v>
      </c>
      <c r="I791" s="2">
        <v>203.3</v>
      </c>
      <c r="J791" s="3" t="s">
        <v>35</v>
      </c>
      <c r="K791">
        <f t="shared" si="24"/>
        <v>2025</v>
      </c>
      <c r="L791" t="str">
        <f t="shared" si="25"/>
        <v>41-50</v>
      </c>
      <c r="M791">
        <f>Table2[[#This Row],[appointment_date]]-Table2[[#This Row],[booking_date]]</f>
        <v>488</v>
      </c>
    </row>
    <row r="792" spans="1:13" x14ac:dyDescent="0.25">
      <c r="A792" s="4">
        <v>1093</v>
      </c>
      <c r="B792" s="3" t="s">
        <v>189</v>
      </c>
      <c r="C792" s="4">
        <v>23</v>
      </c>
      <c r="D792" s="3" t="s">
        <v>68</v>
      </c>
      <c r="E792" s="5">
        <v>45909</v>
      </c>
      <c r="F792" s="5">
        <v>45621</v>
      </c>
      <c r="G792" s="3" t="s">
        <v>2146</v>
      </c>
      <c r="H792" s="3" t="s">
        <v>28</v>
      </c>
      <c r="I792" s="2">
        <v>139.43</v>
      </c>
      <c r="J792" s="3" t="s">
        <v>30</v>
      </c>
      <c r="K792">
        <f t="shared" si="24"/>
        <v>2025</v>
      </c>
      <c r="L792" t="str">
        <f t="shared" si="25"/>
        <v>18-30</v>
      </c>
      <c r="M792">
        <f>Table2[[#This Row],[appointment_date]]-Table2[[#This Row],[booking_date]]</f>
        <v>288</v>
      </c>
    </row>
    <row r="793" spans="1:13" x14ac:dyDescent="0.25">
      <c r="A793" s="4">
        <v>1075</v>
      </c>
      <c r="B793" s="3" t="s">
        <v>2147</v>
      </c>
      <c r="C793" s="4">
        <v>48</v>
      </c>
      <c r="D793" s="3" t="s">
        <v>37</v>
      </c>
      <c r="E793" s="5">
        <v>45828</v>
      </c>
      <c r="F793" s="5">
        <v>45540</v>
      </c>
      <c r="G793" s="3" t="s">
        <v>2148</v>
      </c>
      <c r="H793" s="3" t="s">
        <v>28</v>
      </c>
      <c r="I793" s="2" t="s">
        <v>2693</v>
      </c>
      <c r="J793" s="3" t="s">
        <v>35</v>
      </c>
      <c r="K793">
        <f t="shared" si="24"/>
        <v>2025</v>
      </c>
      <c r="L793" t="str">
        <f t="shared" si="25"/>
        <v>41-50</v>
      </c>
      <c r="M793">
        <f>Table2[[#This Row],[appointment_date]]-Table2[[#This Row],[booking_date]]</f>
        <v>288</v>
      </c>
    </row>
    <row r="794" spans="1:13" x14ac:dyDescent="0.25">
      <c r="A794" s="4">
        <v>1055</v>
      </c>
      <c r="B794" s="3" t="s">
        <v>2149</v>
      </c>
      <c r="C794" s="4">
        <v>71</v>
      </c>
      <c r="D794" s="3" t="s">
        <v>68</v>
      </c>
      <c r="E794" s="5">
        <v>45794</v>
      </c>
      <c r="F794" s="5">
        <v>45501</v>
      </c>
      <c r="G794" s="3" t="s">
        <v>2150</v>
      </c>
      <c r="H794" s="3" t="s">
        <v>18</v>
      </c>
      <c r="I794" s="2">
        <v>74.36</v>
      </c>
      <c r="J794" s="3" t="s">
        <v>35</v>
      </c>
      <c r="K794">
        <f t="shared" si="24"/>
        <v>2025</v>
      </c>
      <c r="L794" t="str">
        <f t="shared" si="25"/>
        <v>71-80</v>
      </c>
      <c r="M794">
        <f>Table2[[#This Row],[appointment_date]]-Table2[[#This Row],[booking_date]]</f>
        <v>293</v>
      </c>
    </row>
    <row r="795" spans="1:13" x14ac:dyDescent="0.25">
      <c r="A795" s="4">
        <v>1033</v>
      </c>
      <c r="B795" s="3" t="s">
        <v>2151</v>
      </c>
      <c r="C795" s="4">
        <v>74</v>
      </c>
      <c r="D795" s="3" t="s">
        <v>37</v>
      </c>
      <c r="E795" s="5">
        <v>45886</v>
      </c>
      <c r="F795" s="5">
        <v>45586</v>
      </c>
      <c r="G795" s="3" t="s">
        <v>2152</v>
      </c>
      <c r="H795" s="3" t="s">
        <v>28</v>
      </c>
      <c r="I795" s="2">
        <v>340.38</v>
      </c>
      <c r="J795" s="3" t="s">
        <v>30</v>
      </c>
      <c r="K795">
        <f t="shared" si="24"/>
        <v>2025</v>
      </c>
      <c r="L795" t="str">
        <f t="shared" si="25"/>
        <v>71-80</v>
      </c>
      <c r="M795">
        <f>Table2[[#This Row],[appointment_date]]-Table2[[#This Row],[booking_date]]</f>
        <v>300</v>
      </c>
    </row>
    <row r="796" spans="1:13" x14ac:dyDescent="0.25">
      <c r="A796" s="4">
        <v>1074</v>
      </c>
      <c r="B796" s="3" t="s">
        <v>2154</v>
      </c>
      <c r="C796" s="4">
        <v>48</v>
      </c>
      <c r="D796" s="3" t="s">
        <v>37</v>
      </c>
      <c r="E796" s="5">
        <v>45755</v>
      </c>
      <c r="F796" s="5">
        <v>45691</v>
      </c>
      <c r="G796" s="3" t="s">
        <v>2155</v>
      </c>
      <c r="H796" s="3" t="s">
        <v>13</v>
      </c>
      <c r="I796" s="2">
        <v>77.48</v>
      </c>
      <c r="J796" s="3" t="s">
        <v>30</v>
      </c>
      <c r="K796">
        <f t="shared" si="24"/>
        <v>2025</v>
      </c>
      <c r="L796" t="str">
        <f t="shared" si="25"/>
        <v>41-50</v>
      </c>
      <c r="M796">
        <f>Table2[[#This Row],[appointment_date]]-Table2[[#This Row],[booking_date]]</f>
        <v>64</v>
      </c>
    </row>
    <row r="797" spans="1:13" x14ac:dyDescent="0.25">
      <c r="A797" s="4">
        <v>1039</v>
      </c>
      <c r="B797" s="3" t="s">
        <v>2156</v>
      </c>
      <c r="C797" s="4">
        <v>58</v>
      </c>
      <c r="D797" s="3" t="s">
        <v>68</v>
      </c>
      <c r="E797" s="5">
        <v>45753</v>
      </c>
      <c r="F797" s="5">
        <v>45509</v>
      </c>
      <c r="G797" s="3" t="s">
        <v>2157</v>
      </c>
      <c r="H797" s="3" t="s">
        <v>24</v>
      </c>
      <c r="I797" s="2">
        <v>316.24</v>
      </c>
      <c r="J797" s="3" t="s">
        <v>35</v>
      </c>
      <c r="K797">
        <f t="shared" si="24"/>
        <v>2025</v>
      </c>
      <c r="L797" t="str">
        <f t="shared" si="25"/>
        <v>51-60</v>
      </c>
      <c r="M797">
        <f>Table2[[#This Row],[appointment_date]]-Table2[[#This Row],[booking_date]]</f>
        <v>244</v>
      </c>
    </row>
    <row r="798" spans="1:13" x14ac:dyDescent="0.25">
      <c r="A798" s="4">
        <v>1050</v>
      </c>
      <c r="B798" s="3" t="s">
        <v>2159</v>
      </c>
      <c r="C798" s="4">
        <v>46</v>
      </c>
      <c r="D798" s="3" t="s">
        <v>37</v>
      </c>
      <c r="E798" s="5">
        <v>45763</v>
      </c>
      <c r="F798" s="5">
        <v>45589</v>
      </c>
      <c r="G798" s="3" t="s">
        <v>2160</v>
      </c>
      <c r="H798" s="3" t="s">
        <v>13</v>
      </c>
      <c r="I798" s="2" t="s">
        <v>2693</v>
      </c>
      <c r="J798" s="3" t="s">
        <v>30</v>
      </c>
      <c r="K798">
        <f t="shared" si="24"/>
        <v>2025</v>
      </c>
      <c r="L798" t="str">
        <f t="shared" si="25"/>
        <v>41-50</v>
      </c>
      <c r="M798">
        <f>Table2[[#This Row],[appointment_date]]-Table2[[#This Row],[booking_date]]</f>
        <v>174</v>
      </c>
    </row>
    <row r="799" spans="1:13" x14ac:dyDescent="0.25">
      <c r="A799" s="4">
        <v>1056</v>
      </c>
      <c r="B799" s="3" t="s">
        <v>2161</v>
      </c>
      <c r="C799" s="4">
        <v>71</v>
      </c>
      <c r="D799" s="3" t="s">
        <v>37</v>
      </c>
      <c r="E799" s="5">
        <v>45984</v>
      </c>
      <c r="F799" s="5">
        <v>45885</v>
      </c>
      <c r="G799" s="3" t="s">
        <v>2162</v>
      </c>
      <c r="H799" s="3" t="s">
        <v>28</v>
      </c>
      <c r="I799" s="2">
        <v>323.8</v>
      </c>
      <c r="J799" s="3" t="s">
        <v>30</v>
      </c>
      <c r="K799">
        <f t="shared" si="24"/>
        <v>2025</v>
      </c>
      <c r="L799" t="str">
        <f t="shared" si="25"/>
        <v>71-80</v>
      </c>
      <c r="M799">
        <f>Table2[[#This Row],[appointment_date]]-Table2[[#This Row],[booking_date]]</f>
        <v>99</v>
      </c>
    </row>
    <row r="800" spans="1:13" x14ac:dyDescent="0.25">
      <c r="A800" s="4">
        <v>1025</v>
      </c>
      <c r="B800" s="3" t="s">
        <v>2164</v>
      </c>
      <c r="C800" s="4">
        <v>28</v>
      </c>
      <c r="D800" s="3" t="s">
        <v>68</v>
      </c>
      <c r="E800" s="5">
        <v>45956</v>
      </c>
      <c r="F800" s="5">
        <v>45710</v>
      </c>
      <c r="G800" s="3" t="s">
        <v>2165</v>
      </c>
      <c r="H800" s="3" t="s">
        <v>18</v>
      </c>
      <c r="I800" s="2">
        <v>497.71</v>
      </c>
      <c r="J800" s="3" t="s">
        <v>35</v>
      </c>
      <c r="K800">
        <f t="shared" si="24"/>
        <v>2025</v>
      </c>
      <c r="L800" t="str">
        <f t="shared" si="25"/>
        <v>18-30</v>
      </c>
      <c r="M800">
        <f>Table2[[#This Row],[appointment_date]]-Table2[[#This Row],[booking_date]]</f>
        <v>246</v>
      </c>
    </row>
    <row r="801" spans="1:13" x14ac:dyDescent="0.25">
      <c r="A801" s="4">
        <v>1037</v>
      </c>
      <c r="B801" s="3" t="s">
        <v>2167</v>
      </c>
      <c r="C801" s="4">
        <v>39</v>
      </c>
      <c r="D801" s="3" t="s">
        <v>68</v>
      </c>
      <c r="E801" s="5">
        <v>45986</v>
      </c>
      <c r="F801" s="5">
        <v>45864</v>
      </c>
      <c r="G801" s="3" t="s">
        <v>2168</v>
      </c>
      <c r="H801" s="3" t="s">
        <v>28</v>
      </c>
      <c r="I801" s="2">
        <v>3.51</v>
      </c>
      <c r="J801" s="3" t="s">
        <v>35</v>
      </c>
      <c r="K801">
        <f t="shared" si="24"/>
        <v>2025</v>
      </c>
      <c r="L801" t="str">
        <f t="shared" si="25"/>
        <v>31-40</v>
      </c>
      <c r="M801">
        <f>Table2[[#This Row],[appointment_date]]-Table2[[#This Row],[booking_date]]</f>
        <v>122</v>
      </c>
    </row>
    <row r="802" spans="1:13" x14ac:dyDescent="0.25">
      <c r="A802" s="4">
        <v>1010</v>
      </c>
      <c r="B802" s="3" t="s">
        <v>2170</v>
      </c>
      <c r="C802" s="4">
        <v>71</v>
      </c>
      <c r="D802" s="3" t="s">
        <v>37</v>
      </c>
      <c r="E802" s="5">
        <v>45838</v>
      </c>
      <c r="F802" s="5">
        <v>45517</v>
      </c>
      <c r="G802" s="3" t="s">
        <v>2171</v>
      </c>
      <c r="H802" s="3" t="s">
        <v>18</v>
      </c>
      <c r="I802" s="2">
        <v>439.84</v>
      </c>
      <c r="J802" s="3" t="s">
        <v>35</v>
      </c>
      <c r="K802">
        <f t="shared" si="24"/>
        <v>2025</v>
      </c>
      <c r="L802" t="str">
        <f t="shared" si="25"/>
        <v>71-80</v>
      </c>
      <c r="M802">
        <f>Table2[[#This Row],[appointment_date]]-Table2[[#This Row],[booking_date]]</f>
        <v>321</v>
      </c>
    </row>
    <row r="803" spans="1:13" x14ac:dyDescent="0.25">
      <c r="A803" s="4">
        <v>1039</v>
      </c>
      <c r="B803" s="3" t="s">
        <v>2173</v>
      </c>
      <c r="C803" s="4">
        <v>46</v>
      </c>
      <c r="D803" s="3" t="s">
        <v>37</v>
      </c>
      <c r="E803" s="5">
        <v>45867</v>
      </c>
      <c r="F803" s="5">
        <v>45669</v>
      </c>
      <c r="G803" s="3" t="s">
        <v>2174</v>
      </c>
      <c r="H803" s="3" t="s">
        <v>13</v>
      </c>
      <c r="I803" s="2">
        <v>1.76</v>
      </c>
      <c r="J803" s="3" t="s">
        <v>35</v>
      </c>
      <c r="K803">
        <f t="shared" si="24"/>
        <v>2025</v>
      </c>
      <c r="L803" t="str">
        <f t="shared" si="25"/>
        <v>41-50</v>
      </c>
      <c r="M803">
        <f>Table2[[#This Row],[appointment_date]]-Table2[[#This Row],[booking_date]]</f>
        <v>198</v>
      </c>
    </row>
    <row r="804" spans="1:13" x14ac:dyDescent="0.25">
      <c r="A804" s="4">
        <v>1040</v>
      </c>
      <c r="B804" s="3" t="s">
        <v>2176</v>
      </c>
      <c r="C804" s="4">
        <v>62</v>
      </c>
      <c r="D804" s="3" t="s">
        <v>68</v>
      </c>
      <c r="E804" s="5">
        <v>46043</v>
      </c>
      <c r="F804" s="5">
        <v>45639</v>
      </c>
      <c r="G804" s="3" t="s">
        <v>2177</v>
      </c>
      <c r="H804" s="3" t="s">
        <v>24</v>
      </c>
      <c r="I804" s="2">
        <v>290.14</v>
      </c>
      <c r="J804" s="3" t="s">
        <v>35</v>
      </c>
      <c r="K804">
        <f t="shared" si="24"/>
        <v>2026</v>
      </c>
      <c r="L804" t="str">
        <f t="shared" si="25"/>
        <v>61-70</v>
      </c>
      <c r="M804">
        <f>Table2[[#This Row],[appointment_date]]-Table2[[#This Row],[booking_date]]</f>
        <v>404</v>
      </c>
    </row>
    <row r="805" spans="1:13" x14ac:dyDescent="0.25">
      <c r="A805" s="4">
        <v>1100</v>
      </c>
      <c r="B805" s="3" t="s">
        <v>2178</v>
      </c>
      <c r="C805" s="4">
        <v>52</v>
      </c>
      <c r="D805" s="3" t="s">
        <v>37</v>
      </c>
      <c r="E805" s="5">
        <v>45967</v>
      </c>
      <c r="F805" s="5">
        <v>45556</v>
      </c>
      <c r="G805" s="3" t="s">
        <v>2179</v>
      </c>
      <c r="H805" s="3" t="s">
        <v>24</v>
      </c>
      <c r="I805" s="2">
        <v>273.38</v>
      </c>
      <c r="J805" s="3" t="s">
        <v>35</v>
      </c>
      <c r="K805">
        <f t="shared" si="24"/>
        <v>2025</v>
      </c>
      <c r="L805" t="str">
        <f t="shared" si="25"/>
        <v>51-60</v>
      </c>
      <c r="M805">
        <f>Table2[[#This Row],[appointment_date]]-Table2[[#This Row],[booking_date]]</f>
        <v>411</v>
      </c>
    </row>
    <row r="806" spans="1:13" x14ac:dyDescent="0.25">
      <c r="A806" s="4">
        <v>1071</v>
      </c>
      <c r="B806" s="3" t="s">
        <v>2181</v>
      </c>
      <c r="C806" s="4">
        <v>41</v>
      </c>
      <c r="D806" s="3" t="s">
        <v>37</v>
      </c>
      <c r="E806" s="5">
        <v>46083</v>
      </c>
      <c r="F806" s="5">
        <v>45927</v>
      </c>
      <c r="G806" s="3" t="s">
        <v>2182</v>
      </c>
      <c r="H806" s="3" t="s">
        <v>28</v>
      </c>
      <c r="I806" s="2">
        <v>200.17</v>
      </c>
      <c r="J806" s="3" t="s">
        <v>30</v>
      </c>
      <c r="K806">
        <f t="shared" si="24"/>
        <v>2026</v>
      </c>
      <c r="L806" t="str">
        <f t="shared" si="25"/>
        <v>41-50</v>
      </c>
      <c r="M806">
        <f>Table2[[#This Row],[appointment_date]]-Table2[[#This Row],[booking_date]]</f>
        <v>156</v>
      </c>
    </row>
    <row r="807" spans="1:13" x14ac:dyDescent="0.25">
      <c r="A807" s="4">
        <v>1097</v>
      </c>
      <c r="B807" s="3" t="s">
        <v>2184</v>
      </c>
      <c r="C807" s="4">
        <v>88</v>
      </c>
      <c r="D807" s="3" t="s">
        <v>37</v>
      </c>
      <c r="E807" s="5">
        <v>46018</v>
      </c>
      <c r="F807" s="5">
        <v>45651</v>
      </c>
      <c r="G807" s="3" t="s">
        <v>2185</v>
      </c>
      <c r="H807" s="3" t="s">
        <v>28</v>
      </c>
      <c r="I807" s="2">
        <v>398.47</v>
      </c>
      <c r="J807" s="3" t="s">
        <v>35</v>
      </c>
      <c r="K807">
        <f t="shared" si="24"/>
        <v>2025</v>
      </c>
      <c r="L807" t="str">
        <f t="shared" si="25"/>
        <v>81-90</v>
      </c>
      <c r="M807">
        <f>Table2[[#This Row],[appointment_date]]-Table2[[#This Row],[booking_date]]</f>
        <v>367</v>
      </c>
    </row>
    <row r="808" spans="1:13" x14ac:dyDescent="0.25">
      <c r="A808" s="4">
        <v>1047</v>
      </c>
      <c r="B808" s="3" t="s">
        <v>2186</v>
      </c>
      <c r="C808" s="4">
        <v>51</v>
      </c>
      <c r="D808" s="3" t="s">
        <v>68</v>
      </c>
      <c r="E808" s="5">
        <v>45962</v>
      </c>
      <c r="F808" s="5">
        <v>45928</v>
      </c>
      <c r="G808" s="3" t="s">
        <v>2187</v>
      </c>
      <c r="H808" s="3" t="s">
        <v>24</v>
      </c>
      <c r="I808" s="2">
        <v>348.67</v>
      </c>
      <c r="J808" s="3" t="s">
        <v>35</v>
      </c>
      <c r="K808">
        <f t="shared" si="24"/>
        <v>2025</v>
      </c>
      <c r="L808" t="str">
        <f t="shared" si="25"/>
        <v>51-60</v>
      </c>
      <c r="M808">
        <f>Table2[[#This Row],[appointment_date]]-Table2[[#This Row],[booking_date]]</f>
        <v>34</v>
      </c>
    </row>
    <row r="809" spans="1:13" x14ac:dyDescent="0.25">
      <c r="A809" s="4">
        <v>1041</v>
      </c>
      <c r="B809" s="3" t="s">
        <v>2189</v>
      </c>
      <c r="C809" s="4">
        <v>70</v>
      </c>
      <c r="D809" s="3" t="s">
        <v>68</v>
      </c>
      <c r="E809" s="5">
        <v>45864</v>
      </c>
      <c r="F809" s="5">
        <v>45537</v>
      </c>
      <c r="G809" s="3" t="s">
        <v>2190</v>
      </c>
      <c r="H809" s="3" t="s">
        <v>24</v>
      </c>
      <c r="I809" s="2" t="s">
        <v>2693</v>
      </c>
      <c r="J809" s="3" t="s">
        <v>30</v>
      </c>
      <c r="K809">
        <f t="shared" si="24"/>
        <v>2025</v>
      </c>
      <c r="L809" t="str">
        <f t="shared" si="25"/>
        <v>61-70</v>
      </c>
      <c r="M809">
        <f>Table2[[#This Row],[appointment_date]]-Table2[[#This Row],[booking_date]]</f>
        <v>327</v>
      </c>
    </row>
    <row r="810" spans="1:13" x14ac:dyDescent="0.25">
      <c r="A810" s="4">
        <v>1067</v>
      </c>
      <c r="B810" s="3" t="s">
        <v>2191</v>
      </c>
      <c r="C810" s="4">
        <v>57</v>
      </c>
      <c r="D810" s="3" t="s">
        <v>37</v>
      </c>
      <c r="E810" s="5">
        <v>46013</v>
      </c>
      <c r="F810" s="5">
        <v>45663</v>
      </c>
      <c r="G810" s="3" t="s">
        <v>561</v>
      </c>
      <c r="H810" s="3" t="s">
        <v>24</v>
      </c>
      <c r="I810" s="2">
        <v>142.33000000000001</v>
      </c>
      <c r="J810" s="3" t="s">
        <v>30</v>
      </c>
      <c r="K810">
        <f t="shared" si="24"/>
        <v>2025</v>
      </c>
      <c r="L810" t="str">
        <f t="shared" si="25"/>
        <v>51-60</v>
      </c>
      <c r="M810">
        <f>Table2[[#This Row],[appointment_date]]-Table2[[#This Row],[booking_date]]</f>
        <v>350</v>
      </c>
    </row>
    <row r="811" spans="1:13" x14ac:dyDescent="0.25">
      <c r="A811" s="4">
        <v>1064</v>
      </c>
      <c r="B811" s="3" t="s">
        <v>2192</v>
      </c>
      <c r="C811" s="4">
        <v>57</v>
      </c>
      <c r="D811" s="3" t="s">
        <v>68</v>
      </c>
      <c r="E811" s="5">
        <v>45907</v>
      </c>
      <c r="F811" s="5">
        <v>45569</v>
      </c>
      <c r="G811" s="3" t="s">
        <v>2193</v>
      </c>
      <c r="H811" s="3" t="s">
        <v>28</v>
      </c>
      <c r="I811" s="2">
        <v>5.24</v>
      </c>
      <c r="J811" s="3" t="s">
        <v>30</v>
      </c>
      <c r="K811">
        <f t="shared" si="24"/>
        <v>2025</v>
      </c>
      <c r="L811" t="str">
        <f t="shared" si="25"/>
        <v>51-60</v>
      </c>
      <c r="M811">
        <f>Table2[[#This Row],[appointment_date]]-Table2[[#This Row],[booking_date]]</f>
        <v>338</v>
      </c>
    </row>
    <row r="812" spans="1:13" x14ac:dyDescent="0.25">
      <c r="A812" s="4">
        <v>1008</v>
      </c>
      <c r="B812" s="3" t="s">
        <v>2195</v>
      </c>
      <c r="C812" s="4">
        <v>22</v>
      </c>
      <c r="D812" s="3" t="s">
        <v>37</v>
      </c>
      <c r="E812" s="5">
        <v>45912</v>
      </c>
      <c r="F812" s="5">
        <v>45555</v>
      </c>
      <c r="G812" s="3" t="s">
        <v>2196</v>
      </c>
      <c r="H812" s="3" t="s">
        <v>28</v>
      </c>
      <c r="I812" s="2">
        <v>393.16</v>
      </c>
      <c r="J812" s="3" t="s">
        <v>35</v>
      </c>
      <c r="K812">
        <f t="shared" si="24"/>
        <v>2025</v>
      </c>
      <c r="L812" t="str">
        <f t="shared" si="25"/>
        <v>18-30</v>
      </c>
      <c r="M812">
        <f>Table2[[#This Row],[appointment_date]]-Table2[[#This Row],[booking_date]]</f>
        <v>357</v>
      </c>
    </row>
    <row r="813" spans="1:13" x14ac:dyDescent="0.25">
      <c r="A813" s="4">
        <v>1097</v>
      </c>
      <c r="B813" s="3" t="s">
        <v>2198</v>
      </c>
      <c r="C813" s="4">
        <v>42</v>
      </c>
      <c r="D813" s="3" t="s">
        <v>37</v>
      </c>
      <c r="E813" s="5">
        <v>46054</v>
      </c>
      <c r="F813" s="5">
        <v>46022</v>
      </c>
      <c r="G813" s="3" t="s">
        <v>2199</v>
      </c>
      <c r="H813" s="3" t="s">
        <v>24</v>
      </c>
      <c r="I813" s="2">
        <v>98.38</v>
      </c>
      <c r="J813" s="3" t="s">
        <v>30</v>
      </c>
      <c r="K813">
        <f t="shared" si="24"/>
        <v>2026</v>
      </c>
      <c r="L813" t="str">
        <f t="shared" si="25"/>
        <v>41-50</v>
      </c>
      <c r="M813">
        <f>Table2[[#This Row],[appointment_date]]-Table2[[#This Row],[booking_date]]</f>
        <v>32</v>
      </c>
    </row>
    <row r="814" spans="1:13" x14ac:dyDescent="0.25">
      <c r="A814" s="4">
        <v>1053</v>
      </c>
      <c r="B814" s="3" t="s">
        <v>2201</v>
      </c>
      <c r="C814" s="4">
        <v>39</v>
      </c>
      <c r="D814" s="3" t="s">
        <v>68</v>
      </c>
      <c r="E814" s="5">
        <v>46037</v>
      </c>
      <c r="F814" s="5">
        <v>45972</v>
      </c>
      <c r="G814" s="3" t="s">
        <v>2202</v>
      </c>
      <c r="H814" s="3" t="s">
        <v>28</v>
      </c>
      <c r="I814" s="2">
        <v>295.70999999999998</v>
      </c>
      <c r="J814" s="3" t="s">
        <v>30</v>
      </c>
      <c r="K814">
        <f t="shared" si="24"/>
        <v>2026</v>
      </c>
      <c r="L814" t="str">
        <f t="shared" si="25"/>
        <v>31-40</v>
      </c>
      <c r="M814">
        <f>Table2[[#This Row],[appointment_date]]-Table2[[#This Row],[booking_date]]</f>
        <v>65</v>
      </c>
    </row>
    <row r="815" spans="1:13" x14ac:dyDescent="0.25">
      <c r="A815" s="4">
        <v>1035</v>
      </c>
      <c r="B815" s="3" t="s">
        <v>2203</v>
      </c>
      <c r="C815" s="4">
        <v>46</v>
      </c>
      <c r="D815" s="3" t="s">
        <v>37</v>
      </c>
      <c r="E815" s="5">
        <v>45882</v>
      </c>
      <c r="F815" s="5">
        <v>45802</v>
      </c>
      <c r="G815" s="3" t="s">
        <v>2204</v>
      </c>
      <c r="H815" s="3" t="s">
        <v>13</v>
      </c>
      <c r="I815" s="2">
        <v>1.84</v>
      </c>
      <c r="J815" s="3" t="s">
        <v>35</v>
      </c>
      <c r="K815">
        <f t="shared" si="24"/>
        <v>2025</v>
      </c>
      <c r="L815" t="str">
        <f t="shared" si="25"/>
        <v>41-50</v>
      </c>
      <c r="M815">
        <f>Table2[[#This Row],[appointment_date]]-Table2[[#This Row],[booking_date]]</f>
        <v>80</v>
      </c>
    </row>
    <row r="816" spans="1:13" x14ac:dyDescent="0.25">
      <c r="A816" s="4">
        <v>1074</v>
      </c>
      <c r="B816" s="3" t="s">
        <v>2206</v>
      </c>
      <c r="C816" s="4">
        <v>87</v>
      </c>
      <c r="D816" s="3"/>
      <c r="E816" s="5">
        <v>45796</v>
      </c>
      <c r="F816" s="5">
        <v>45455</v>
      </c>
      <c r="G816" s="3" t="s">
        <v>2207</v>
      </c>
      <c r="H816" s="3" t="s">
        <v>28</v>
      </c>
      <c r="I816" s="2">
        <v>427.6</v>
      </c>
      <c r="J816" s="3" t="s">
        <v>35</v>
      </c>
      <c r="K816">
        <f t="shared" si="24"/>
        <v>2025</v>
      </c>
      <c r="L816" t="str">
        <f t="shared" si="25"/>
        <v>81-90</v>
      </c>
      <c r="M816">
        <f>Table2[[#This Row],[appointment_date]]-Table2[[#This Row],[booking_date]]</f>
        <v>341</v>
      </c>
    </row>
    <row r="817" spans="1:13" x14ac:dyDescent="0.25">
      <c r="A817" s="4">
        <v>1015</v>
      </c>
      <c r="B817" s="3" t="s">
        <v>2209</v>
      </c>
      <c r="C817" s="4">
        <v>21</v>
      </c>
      <c r="D817" s="3" t="s">
        <v>37</v>
      </c>
      <c r="E817" s="5">
        <v>45842</v>
      </c>
      <c r="F817" s="5">
        <v>45695</v>
      </c>
      <c r="G817" s="3" t="s">
        <v>1438</v>
      </c>
      <c r="H817" s="3" t="s">
        <v>13</v>
      </c>
      <c r="I817" s="2">
        <v>168.33</v>
      </c>
      <c r="J817" s="3" t="s">
        <v>30</v>
      </c>
      <c r="K817">
        <f t="shared" si="24"/>
        <v>2025</v>
      </c>
      <c r="L817" t="str">
        <f t="shared" si="25"/>
        <v>18-30</v>
      </c>
      <c r="M817">
        <f>Table2[[#This Row],[appointment_date]]-Table2[[#This Row],[booking_date]]</f>
        <v>147</v>
      </c>
    </row>
    <row r="818" spans="1:13" x14ac:dyDescent="0.25">
      <c r="A818" s="4">
        <v>1071</v>
      </c>
      <c r="B818" s="3" t="s">
        <v>2210</v>
      </c>
      <c r="C818" s="4">
        <v>88</v>
      </c>
      <c r="D818" s="3" t="s">
        <v>37</v>
      </c>
      <c r="E818" s="5">
        <v>45961</v>
      </c>
      <c r="F818" s="5">
        <v>45831</v>
      </c>
      <c r="G818" s="3" t="s">
        <v>2211</v>
      </c>
      <c r="H818" s="3" t="s">
        <v>13</v>
      </c>
      <c r="I818" s="2">
        <v>461.16</v>
      </c>
      <c r="J818" s="3" t="s">
        <v>35</v>
      </c>
      <c r="K818">
        <f t="shared" si="24"/>
        <v>2025</v>
      </c>
      <c r="L818" t="str">
        <f t="shared" si="25"/>
        <v>81-90</v>
      </c>
      <c r="M818">
        <f>Table2[[#This Row],[appointment_date]]-Table2[[#This Row],[booking_date]]</f>
        <v>130</v>
      </c>
    </row>
    <row r="819" spans="1:13" x14ac:dyDescent="0.25">
      <c r="A819" s="4">
        <v>1044</v>
      </c>
      <c r="B819" s="3" t="s">
        <v>2213</v>
      </c>
      <c r="C819" s="4">
        <v>83</v>
      </c>
      <c r="D819" s="3" t="s">
        <v>68</v>
      </c>
      <c r="E819" s="5">
        <v>45824</v>
      </c>
      <c r="F819" s="5">
        <v>45723</v>
      </c>
      <c r="G819" s="3" t="s">
        <v>623</v>
      </c>
      <c r="H819" s="3" t="s">
        <v>13</v>
      </c>
      <c r="I819" s="2" t="s">
        <v>2693</v>
      </c>
      <c r="J819" s="3" t="s">
        <v>30</v>
      </c>
      <c r="K819">
        <f t="shared" si="24"/>
        <v>2025</v>
      </c>
      <c r="L819" t="str">
        <f t="shared" si="25"/>
        <v>81-90</v>
      </c>
      <c r="M819">
        <f>Table2[[#This Row],[appointment_date]]-Table2[[#This Row],[booking_date]]</f>
        <v>101</v>
      </c>
    </row>
    <row r="820" spans="1:13" x14ac:dyDescent="0.25">
      <c r="A820" s="4">
        <v>1038</v>
      </c>
      <c r="B820" s="3" t="s">
        <v>2214</v>
      </c>
      <c r="C820" s="4">
        <v>29</v>
      </c>
      <c r="D820" s="3" t="s">
        <v>37</v>
      </c>
      <c r="E820" s="5">
        <v>46073</v>
      </c>
      <c r="F820" s="5">
        <v>45526</v>
      </c>
      <c r="G820" s="3" t="s">
        <v>2215</v>
      </c>
      <c r="H820" s="3" t="s">
        <v>24</v>
      </c>
      <c r="I820" s="2">
        <v>614.66</v>
      </c>
      <c r="J820" s="3" t="s">
        <v>30</v>
      </c>
      <c r="K820">
        <f t="shared" si="24"/>
        <v>2026</v>
      </c>
      <c r="L820" t="str">
        <f t="shared" si="25"/>
        <v>18-30</v>
      </c>
      <c r="M820">
        <f>Table2[[#This Row],[appointment_date]]-Table2[[#This Row],[booking_date]]</f>
        <v>547</v>
      </c>
    </row>
    <row r="821" spans="1:13" x14ac:dyDescent="0.25">
      <c r="A821" s="4">
        <v>1001</v>
      </c>
      <c r="B821" s="3" t="s">
        <v>2217</v>
      </c>
      <c r="C821" s="4">
        <v>30</v>
      </c>
      <c r="D821" s="3" t="s">
        <v>68</v>
      </c>
      <c r="E821" s="5">
        <v>45807</v>
      </c>
      <c r="F821" s="5">
        <v>45631</v>
      </c>
      <c r="G821" s="3" t="s">
        <v>2218</v>
      </c>
      <c r="H821" s="3" t="s">
        <v>24</v>
      </c>
      <c r="I821" s="2" t="s">
        <v>2693</v>
      </c>
      <c r="J821" s="3" t="s">
        <v>35</v>
      </c>
      <c r="K821">
        <f t="shared" si="24"/>
        <v>2025</v>
      </c>
      <c r="L821" t="str">
        <f t="shared" si="25"/>
        <v>18-30</v>
      </c>
      <c r="M821">
        <f>Table2[[#This Row],[appointment_date]]-Table2[[#This Row],[booking_date]]</f>
        <v>176</v>
      </c>
    </row>
    <row r="822" spans="1:13" x14ac:dyDescent="0.25">
      <c r="A822" s="4">
        <v>1056</v>
      </c>
      <c r="B822" s="3" t="s">
        <v>2219</v>
      </c>
      <c r="C822" s="4">
        <v>33</v>
      </c>
      <c r="D822" s="3"/>
      <c r="E822" s="5">
        <v>45946</v>
      </c>
      <c r="F822" s="5">
        <v>45548</v>
      </c>
      <c r="G822" s="3" t="s">
        <v>2220</v>
      </c>
      <c r="H822" s="3" t="s">
        <v>18</v>
      </c>
      <c r="I822" s="2">
        <v>139.65</v>
      </c>
      <c r="J822" s="3" t="s">
        <v>30</v>
      </c>
      <c r="K822">
        <f t="shared" si="24"/>
        <v>2025</v>
      </c>
      <c r="L822" t="str">
        <f t="shared" si="25"/>
        <v>31-40</v>
      </c>
      <c r="M822">
        <f>Table2[[#This Row],[appointment_date]]-Table2[[#This Row],[booking_date]]</f>
        <v>398</v>
      </c>
    </row>
    <row r="823" spans="1:13" x14ac:dyDescent="0.25">
      <c r="A823" s="4">
        <v>1008</v>
      </c>
      <c r="B823" s="3" t="s">
        <v>2222</v>
      </c>
      <c r="C823" s="4">
        <v>71</v>
      </c>
      <c r="D823" s="3"/>
      <c r="E823" s="5">
        <v>45906</v>
      </c>
      <c r="F823" s="5">
        <v>45433</v>
      </c>
      <c r="G823" s="3" t="s">
        <v>2223</v>
      </c>
      <c r="H823" s="3" t="s">
        <v>24</v>
      </c>
      <c r="I823" s="2">
        <v>144.91</v>
      </c>
      <c r="J823" s="3" t="s">
        <v>30</v>
      </c>
      <c r="K823">
        <f t="shared" si="24"/>
        <v>2025</v>
      </c>
      <c r="L823" t="str">
        <f t="shared" si="25"/>
        <v>71-80</v>
      </c>
      <c r="M823">
        <f>Table2[[#This Row],[appointment_date]]-Table2[[#This Row],[booking_date]]</f>
        <v>473</v>
      </c>
    </row>
    <row r="824" spans="1:13" x14ac:dyDescent="0.25">
      <c r="A824" s="4">
        <v>1099</v>
      </c>
      <c r="B824" s="3" t="s">
        <v>2225</v>
      </c>
      <c r="C824" s="4">
        <v>74</v>
      </c>
      <c r="D824" s="3" t="s">
        <v>68</v>
      </c>
      <c r="E824" s="5">
        <v>45786</v>
      </c>
      <c r="F824" s="5">
        <v>45608</v>
      </c>
      <c r="G824" s="3" t="s">
        <v>2226</v>
      </c>
      <c r="H824" s="3" t="s">
        <v>13</v>
      </c>
      <c r="I824" s="2">
        <v>488.54</v>
      </c>
      <c r="J824" s="3" t="s">
        <v>30</v>
      </c>
      <c r="K824">
        <f t="shared" si="24"/>
        <v>2025</v>
      </c>
      <c r="L824" t="str">
        <f t="shared" si="25"/>
        <v>71-80</v>
      </c>
      <c r="M824">
        <f>Table2[[#This Row],[appointment_date]]-Table2[[#This Row],[booking_date]]</f>
        <v>178</v>
      </c>
    </row>
    <row r="825" spans="1:13" x14ac:dyDescent="0.25">
      <c r="A825" s="4">
        <v>1060</v>
      </c>
      <c r="B825" s="3" t="s">
        <v>2227</v>
      </c>
      <c r="C825" s="4">
        <v>26</v>
      </c>
      <c r="D825" s="3" t="s">
        <v>68</v>
      </c>
      <c r="E825" s="5">
        <v>45947</v>
      </c>
      <c r="F825" s="5">
        <v>45638</v>
      </c>
      <c r="G825" s="3" t="s">
        <v>2228</v>
      </c>
      <c r="H825" s="3" t="s">
        <v>18</v>
      </c>
      <c r="I825" s="2">
        <v>124.29</v>
      </c>
      <c r="J825" s="3" t="s">
        <v>30</v>
      </c>
      <c r="K825">
        <f t="shared" si="24"/>
        <v>2025</v>
      </c>
      <c r="L825" t="str">
        <f t="shared" si="25"/>
        <v>18-30</v>
      </c>
      <c r="M825">
        <f>Table2[[#This Row],[appointment_date]]-Table2[[#This Row],[booking_date]]</f>
        <v>309</v>
      </c>
    </row>
    <row r="826" spans="1:13" x14ac:dyDescent="0.25">
      <c r="A826" s="4">
        <v>1080</v>
      </c>
      <c r="B826" s="3" t="s">
        <v>2230</v>
      </c>
      <c r="C826" s="4">
        <v>18</v>
      </c>
      <c r="D826" s="3" t="s">
        <v>68</v>
      </c>
      <c r="E826" s="5">
        <v>45812</v>
      </c>
      <c r="F826" s="5">
        <v>45640</v>
      </c>
      <c r="G826" s="3" t="s">
        <v>2231</v>
      </c>
      <c r="H826" s="3" t="s">
        <v>24</v>
      </c>
      <c r="I826" s="2">
        <v>82.26</v>
      </c>
      <c r="J826" s="3" t="s">
        <v>30</v>
      </c>
      <c r="K826">
        <f t="shared" si="24"/>
        <v>2025</v>
      </c>
      <c r="L826" t="str">
        <f t="shared" si="25"/>
        <v>18-30</v>
      </c>
      <c r="M826">
        <f>Table2[[#This Row],[appointment_date]]-Table2[[#This Row],[booking_date]]</f>
        <v>172</v>
      </c>
    </row>
    <row r="827" spans="1:13" x14ac:dyDescent="0.25">
      <c r="A827" s="4">
        <v>1056</v>
      </c>
      <c r="B827" s="3" t="s">
        <v>2233</v>
      </c>
      <c r="C827" s="4">
        <v>26</v>
      </c>
      <c r="D827" s="3" t="s">
        <v>37</v>
      </c>
      <c r="E827" s="5">
        <v>45987</v>
      </c>
      <c r="F827" s="5">
        <v>45764</v>
      </c>
      <c r="G827" s="3" t="s">
        <v>2234</v>
      </c>
      <c r="H827" s="3" t="s">
        <v>24</v>
      </c>
      <c r="I827" s="2">
        <v>340.47</v>
      </c>
      <c r="J827" s="3" t="s">
        <v>30</v>
      </c>
      <c r="K827">
        <f t="shared" si="24"/>
        <v>2025</v>
      </c>
      <c r="L827" t="str">
        <f t="shared" si="25"/>
        <v>18-30</v>
      </c>
      <c r="M827">
        <f>Table2[[#This Row],[appointment_date]]-Table2[[#This Row],[booking_date]]</f>
        <v>223</v>
      </c>
    </row>
    <row r="828" spans="1:13" x14ac:dyDescent="0.25">
      <c r="A828" s="4">
        <v>1077</v>
      </c>
      <c r="B828" s="3" t="s">
        <v>2235</v>
      </c>
      <c r="C828" s="4">
        <v>78</v>
      </c>
      <c r="D828" s="3" t="s">
        <v>68</v>
      </c>
      <c r="E828" s="5">
        <v>46031</v>
      </c>
      <c r="F828" s="5">
        <v>45784</v>
      </c>
      <c r="G828" s="3" t="s">
        <v>2236</v>
      </c>
      <c r="H828" s="3" t="s">
        <v>13</v>
      </c>
      <c r="I828" s="2">
        <v>551.87</v>
      </c>
      <c r="J828" s="3" t="s">
        <v>30</v>
      </c>
      <c r="K828">
        <f t="shared" si="24"/>
        <v>2026</v>
      </c>
      <c r="L828" t="str">
        <f t="shared" si="25"/>
        <v>71-80</v>
      </c>
      <c r="M828">
        <f>Table2[[#This Row],[appointment_date]]-Table2[[#This Row],[booking_date]]</f>
        <v>247</v>
      </c>
    </row>
    <row r="829" spans="1:13" x14ac:dyDescent="0.25">
      <c r="A829" s="4">
        <v>1036</v>
      </c>
      <c r="B829" s="3" t="s">
        <v>2238</v>
      </c>
      <c r="C829" s="4">
        <v>25</v>
      </c>
      <c r="D829" s="3" t="s">
        <v>68</v>
      </c>
      <c r="E829" s="5">
        <v>45822</v>
      </c>
      <c r="F829" s="5">
        <v>45409</v>
      </c>
      <c r="G829" s="3" t="s">
        <v>2239</v>
      </c>
      <c r="H829" s="3" t="s">
        <v>24</v>
      </c>
      <c r="I829" s="2">
        <v>266.62</v>
      </c>
      <c r="J829" s="3" t="s">
        <v>35</v>
      </c>
      <c r="K829">
        <f t="shared" si="24"/>
        <v>2025</v>
      </c>
      <c r="L829" t="str">
        <f t="shared" si="25"/>
        <v>18-30</v>
      </c>
      <c r="M829">
        <f>Table2[[#This Row],[appointment_date]]-Table2[[#This Row],[booking_date]]</f>
        <v>413</v>
      </c>
    </row>
    <row r="830" spans="1:13" x14ac:dyDescent="0.25">
      <c r="A830" s="4">
        <v>1050</v>
      </c>
      <c r="B830" s="3" t="s">
        <v>672</v>
      </c>
      <c r="C830" s="4">
        <v>41</v>
      </c>
      <c r="D830" s="3" t="s">
        <v>37</v>
      </c>
      <c r="E830" s="5">
        <v>46060</v>
      </c>
      <c r="F830" s="5">
        <v>45804</v>
      </c>
      <c r="G830" s="3" t="s">
        <v>2241</v>
      </c>
      <c r="H830" s="3" t="s">
        <v>18</v>
      </c>
      <c r="I830" s="2">
        <v>0.7</v>
      </c>
      <c r="J830" s="3" t="s">
        <v>35</v>
      </c>
      <c r="K830">
        <f t="shared" si="24"/>
        <v>2026</v>
      </c>
      <c r="L830" t="str">
        <f t="shared" si="25"/>
        <v>41-50</v>
      </c>
      <c r="M830">
        <f>Table2[[#This Row],[appointment_date]]-Table2[[#This Row],[booking_date]]</f>
        <v>256</v>
      </c>
    </row>
    <row r="831" spans="1:13" x14ac:dyDescent="0.25">
      <c r="A831" s="4">
        <v>1003</v>
      </c>
      <c r="B831" s="3" t="s">
        <v>2243</v>
      </c>
      <c r="C831" s="4">
        <v>85</v>
      </c>
      <c r="D831" s="3" t="s">
        <v>37</v>
      </c>
      <c r="E831" s="5">
        <v>45868</v>
      </c>
      <c r="F831" s="5">
        <v>45579</v>
      </c>
      <c r="G831" s="3" t="s">
        <v>2244</v>
      </c>
      <c r="H831" s="3" t="s">
        <v>13</v>
      </c>
      <c r="I831" s="2">
        <v>101.59</v>
      </c>
      <c r="J831" s="3" t="s">
        <v>35</v>
      </c>
      <c r="K831">
        <f t="shared" si="24"/>
        <v>2025</v>
      </c>
      <c r="L831" t="str">
        <f t="shared" si="25"/>
        <v>81-90</v>
      </c>
      <c r="M831">
        <f>Table2[[#This Row],[appointment_date]]-Table2[[#This Row],[booking_date]]</f>
        <v>289</v>
      </c>
    </row>
    <row r="832" spans="1:13" x14ac:dyDescent="0.25">
      <c r="A832" s="4">
        <v>1042</v>
      </c>
      <c r="B832" s="3" t="s">
        <v>2245</v>
      </c>
      <c r="C832" s="4">
        <v>60</v>
      </c>
      <c r="D832" s="3" t="s">
        <v>37</v>
      </c>
      <c r="E832" s="5">
        <v>45744</v>
      </c>
      <c r="F832" s="5">
        <v>45610</v>
      </c>
      <c r="G832" s="3" t="s">
        <v>2246</v>
      </c>
      <c r="H832" s="3" t="s">
        <v>18</v>
      </c>
      <c r="I832" s="2">
        <v>498.48</v>
      </c>
      <c r="J832" s="3" t="s">
        <v>35</v>
      </c>
      <c r="K832">
        <f t="shared" si="24"/>
        <v>2025</v>
      </c>
      <c r="L832" t="str">
        <f t="shared" si="25"/>
        <v>51-60</v>
      </c>
      <c r="M832">
        <f>Table2[[#This Row],[appointment_date]]-Table2[[#This Row],[booking_date]]</f>
        <v>134</v>
      </c>
    </row>
    <row r="833" spans="1:13" x14ac:dyDescent="0.25">
      <c r="A833" s="4">
        <v>1019</v>
      </c>
      <c r="B833" s="3" t="s">
        <v>2247</v>
      </c>
      <c r="C833" s="4">
        <v>34</v>
      </c>
      <c r="D833" s="3" t="s">
        <v>37</v>
      </c>
      <c r="E833" s="5">
        <v>46081</v>
      </c>
      <c r="F833" s="5">
        <v>45869</v>
      </c>
      <c r="G833" s="3" t="s">
        <v>2248</v>
      </c>
      <c r="H833" s="3" t="s">
        <v>28</v>
      </c>
      <c r="I833" s="2">
        <v>305.83999999999997</v>
      </c>
      <c r="J833" s="3" t="s">
        <v>35</v>
      </c>
      <c r="K833">
        <f t="shared" si="24"/>
        <v>2026</v>
      </c>
      <c r="L833" t="str">
        <f t="shared" si="25"/>
        <v>31-40</v>
      </c>
      <c r="M833">
        <f>Table2[[#This Row],[appointment_date]]-Table2[[#This Row],[booking_date]]</f>
        <v>212</v>
      </c>
    </row>
    <row r="834" spans="1:13" x14ac:dyDescent="0.25">
      <c r="A834" s="4">
        <v>1073</v>
      </c>
      <c r="B834" s="3" t="s">
        <v>2249</v>
      </c>
      <c r="C834" s="4">
        <v>32</v>
      </c>
      <c r="D834" s="3" t="s">
        <v>37</v>
      </c>
      <c r="E834" s="5">
        <v>46044</v>
      </c>
      <c r="F834" s="5">
        <v>45625</v>
      </c>
      <c r="G834" s="3" t="s">
        <v>2250</v>
      </c>
      <c r="H834" s="3" t="s">
        <v>13</v>
      </c>
      <c r="I834" s="2">
        <v>1.76</v>
      </c>
      <c r="J834" s="3" t="s">
        <v>35</v>
      </c>
      <c r="K834">
        <f t="shared" si="24"/>
        <v>2026</v>
      </c>
      <c r="L834" t="str">
        <f t="shared" si="25"/>
        <v>31-40</v>
      </c>
      <c r="M834">
        <f>Table2[[#This Row],[appointment_date]]-Table2[[#This Row],[booking_date]]</f>
        <v>419</v>
      </c>
    </row>
    <row r="835" spans="1:13" x14ac:dyDescent="0.25">
      <c r="A835" s="4">
        <v>1027</v>
      </c>
      <c r="B835" s="3" t="s">
        <v>2252</v>
      </c>
      <c r="C835" s="4">
        <v>54</v>
      </c>
      <c r="D835" s="3" t="s">
        <v>37</v>
      </c>
      <c r="E835" s="5">
        <v>46001</v>
      </c>
      <c r="F835" s="5">
        <v>45724</v>
      </c>
      <c r="G835" s="3" t="s">
        <v>2253</v>
      </c>
      <c r="H835" s="3" t="s">
        <v>18</v>
      </c>
      <c r="I835" s="2">
        <v>406.61</v>
      </c>
      <c r="J835" s="3" t="s">
        <v>35</v>
      </c>
      <c r="K835">
        <f t="shared" ref="K835:K898" si="26">YEAR(E835)</f>
        <v>2025</v>
      </c>
      <c r="L835" t="str">
        <f t="shared" ref="L835:L898" si="27">IF(C835="","",IF(C835&lt;=30,"18-30",IF(C835&lt;=40,"31-40",IF(C835&lt;=50,"41-50",IF(C835&lt;=60,"51-60",IF(C835&lt;=70,"61-70",IF(C835&lt;=80,"71-80","81-90")))))))</f>
        <v>51-60</v>
      </c>
      <c r="M835">
        <f>Table2[[#This Row],[appointment_date]]-Table2[[#This Row],[booking_date]]</f>
        <v>277</v>
      </c>
    </row>
    <row r="836" spans="1:13" x14ac:dyDescent="0.25">
      <c r="A836" s="4">
        <v>1004</v>
      </c>
      <c r="B836" s="3" t="s">
        <v>2254</v>
      </c>
      <c r="C836" s="4">
        <v>47</v>
      </c>
      <c r="D836" s="3" t="s">
        <v>37</v>
      </c>
      <c r="E836" s="5">
        <v>45986</v>
      </c>
      <c r="F836" s="5">
        <v>45571</v>
      </c>
      <c r="G836" s="3" t="s">
        <v>2255</v>
      </c>
      <c r="H836" s="3" t="s">
        <v>13</v>
      </c>
      <c r="I836" s="2">
        <v>477.9</v>
      </c>
      <c r="J836" s="3" t="s">
        <v>30</v>
      </c>
      <c r="K836">
        <f t="shared" si="26"/>
        <v>2025</v>
      </c>
      <c r="L836" t="str">
        <f t="shared" si="27"/>
        <v>41-50</v>
      </c>
      <c r="M836">
        <f>Table2[[#This Row],[appointment_date]]-Table2[[#This Row],[booking_date]]</f>
        <v>415</v>
      </c>
    </row>
    <row r="837" spans="1:13" x14ac:dyDescent="0.25">
      <c r="A837" s="4">
        <v>1077</v>
      </c>
      <c r="B837" s="3" t="s">
        <v>2257</v>
      </c>
      <c r="C837" s="4">
        <v>21</v>
      </c>
      <c r="D837" s="3" t="s">
        <v>37</v>
      </c>
      <c r="E837" s="5">
        <v>45886</v>
      </c>
      <c r="F837" s="5">
        <v>45475</v>
      </c>
      <c r="G837" s="3" t="s">
        <v>2258</v>
      </c>
      <c r="H837" s="3" t="s">
        <v>18</v>
      </c>
      <c r="I837" s="2">
        <v>315.17</v>
      </c>
      <c r="J837" s="3" t="s">
        <v>30</v>
      </c>
      <c r="K837">
        <f t="shared" si="26"/>
        <v>2025</v>
      </c>
      <c r="L837" t="str">
        <f t="shared" si="27"/>
        <v>18-30</v>
      </c>
      <c r="M837">
        <f>Table2[[#This Row],[appointment_date]]-Table2[[#This Row],[booking_date]]</f>
        <v>411</v>
      </c>
    </row>
    <row r="838" spans="1:13" x14ac:dyDescent="0.25">
      <c r="A838" s="4">
        <v>1085</v>
      </c>
      <c r="B838" s="3" t="s">
        <v>2259</v>
      </c>
      <c r="C838" s="4">
        <v>85</v>
      </c>
      <c r="D838" s="3" t="s">
        <v>37</v>
      </c>
      <c r="E838" s="5">
        <v>45906</v>
      </c>
      <c r="F838" s="5">
        <v>45715</v>
      </c>
      <c r="G838" s="3" t="s">
        <v>2260</v>
      </c>
      <c r="H838" s="3" t="s">
        <v>24</v>
      </c>
      <c r="I838" s="2">
        <v>425.49</v>
      </c>
      <c r="J838" s="3" t="s">
        <v>35</v>
      </c>
      <c r="K838">
        <f t="shared" si="26"/>
        <v>2025</v>
      </c>
      <c r="L838" t="str">
        <f t="shared" si="27"/>
        <v>81-90</v>
      </c>
      <c r="M838">
        <f>Table2[[#This Row],[appointment_date]]-Table2[[#This Row],[booking_date]]</f>
        <v>191</v>
      </c>
    </row>
    <row r="839" spans="1:13" x14ac:dyDescent="0.25">
      <c r="A839" s="4">
        <v>1025</v>
      </c>
      <c r="B839" s="3" t="s">
        <v>2262</v>
      </c>
      <c r="C839" s="4">
        <v>42</v>
      </c>
      <c r="D839" s="3"/>
      <c r="E839" s="5">
        <v>45921</v>
      </c>
      <c r="F839" s="5">
        <v>45631</v>
      </c>
      <c r="G839" s="3" t="s">
        <v>2263</v>
      </c>
      <c r="H839" s="3" t="s">
        <v>18</v>
      </c>
      <c r="I839" s="2">
        <v>468.17</v>
      </c>
      <c r="J839" s="3" t="s">
        <v>30</v>
      </c>
      <c r="K839">
        <f t="shared" si="26"/>
        <v>2025</v>
      </c>
      <c r="L839" t="str">
        <f t="shared" si="27"/>
        <v>41-50</v>
      </c>
      <c r="M839">
        <f>Table2[[#This Row],[appointment_date]]-Table2[[#This Row],[booking_date]]</f>
        <v>290</v>
      </c>
    </row>
    <row r="840" spans="1:13" x14ac:dyDescent="0.25">
      <c r="A840" s="4">
        <v>1029</v>
      </c>
      <c r="B840" s="3" t="s">
        <v>2265</v>
      </c>
      <c r="C840" s="4">
        <v>63</v>
      </c>
      <c r="D840" s="3" t="s">
        <v>68</v>
      </c>
      <c r="E840" s="5">
        <v>45882</v>
      </c>
      <c r="F840" s="5">
        <v>45538</v>
      </c>
      <c r="G840" s="3" t="s">
        <v>2266</v>
      </c>
      <c r="H840" s="3" t="s">
        <v>18</v>
      </c>
      <c r="I840" s="2">
        <v>117.78</v>
      </c>
      <c r="J840" s="3" t="s">
        <v>30</v>
      </c>
      <c r="K840">
        <f t="shared" si="26"/>
        <v>2025</v>
      </c>
      <c r="L840" t="str">
        <f t="shared" si="27"/>
        <v>61-70</v>
      </c>
      <c r="M840">
        <f>Table2[[#This Row],[appointment_date]]-Table2[[#This Row],[booking_date]]</f>
        <v>344</v>
      </c>
    </row>
    <row r="841" spans="1:13" x14ac:dyDescent="0.25">
      <c r="A841" s="4">
        <v>1052</v>
      </c>
      <c r="B841" s="3" t="s">
        <v>2268</v>
      </c>
      <c r="C841" s="4">
        <v>26</v>
      </c>
      <c r="D841" s="3" t="s">
        <v>37</v>
      </c>
      <c r="E841" s="5">
        <v>45961</v>
      </c>
      <c r="F841" s="5">
        <v>45738</v>
      </c>
      <c r="G841" s="3" t="s">
        <v>2269</v>
      </c>
      <c r="H841" s="3" t="s">
        <v>24</v>
      </c>
      <c r="I841" s="2">
        <v>461.18</v>
      </c>
      <c r="J841" s="3" t="s">
        <v>35</v>
      </c>
      <c r="K841">
        <f t="shared" si="26"/>
        <v>2025</v>
      </c>
      <c r="L841" t="str">
        <f t="shared" si="27"/>
        <v>18-30</v>
      </c>
      <c r="M841">
        <f>Table2[[#This Row],[appointment_date]]-Table2[[#This Row],[booking_date]]</f>
        <v>223</v>
      </c>
    </row>
    <row r="842" spans="1:13" x14ac:dyDescent="0.25">
      <c r="A842" s="4">
        <v>1062</v>
      </c>
      <c r="B842" s="3" t="s">
        <v>2270</v>
      </c>
      <c r="C842" s="4">
        <v>85</v>
      </c>
      <c r="D842" s="3" t="s">
        <v>37</v>
      </c>
      <c r="E842" s="5">
        <v>46057</v>
      </c>
      <c r="F842" s="5">
        <v>45648</v>
      </c>
      <c r="G842" s="3" t="s">
        <v>2271</v>
      </c>
      <c r="H842" s="3" t="s">
        <v>13</v>
      </c>
      <c r="I842" s="2">
        <v>2.27</v>
      </c>
      <c r="J842" s="3" t="s">
        <v>35</v>
      </c>
      <c r="K842">
        <f t="shared" si="26"/>
        <v>2026</v>
      </c>
      <c r="L842" t="str">
        <f t="shared" si="27"/>
        <v>81-90</v>
      </c>
      <c r="M842">
        <f>Table2[[#This Row],[appointment_date]]-Table2[[#This Row],[booking_date]]</f>
        <v>409</v>
      </c>
    </row>
    <row r="843" spans="1:13" x14ac:dyDescent="0.25">
      <c r="A843" s="4">
        <v>1014</v>
      </c>
      <c r="B843" s="3" t="s">
        <v>2273</v>
      </c>
      <c r="C843" s="4">
        <v>29</v>
      </c>
      <c r="D843" s="3" t="s">
        <v>37</v>
      </c>
      <c r="E843" s="5">
        <v>45903</v>
      </c>
      <c r="F843" s="5">
        <v>45500</v>
      </c>
      <c r="G843" s="3" t="s">
        <v>2274</v>
      </c>
      <c r="H843" s="3" t="s">
        <v>28</v>
      </c>
      <c r="I843" s="2">
        <v>142.76</v>
      </c>
      <c r="J843" s="3" t="s">
        <v>30</v>
      </c>
      <c r="K843">
        <f t="shared" si="26"/>
        <v>2025</v>
      </c>
      <c r="L843" t="str">
        <f t="shared" si="27"/>
        <v>18-30</v>
      </c>
      <c r="M843">
        <f>Table2[[#This Row],[appointment_date]]-Table2[[#This Row],[booking_date]]</f>
        <v>403</v>
      </c>
    </row>
    <row r="844" spans="1:13" x14ac:dyDescent="0.25">
      <c r="A844" s="4">
        <v>1056</v>
      </c>
      <c r="B844" s="3" t="s">
        <v>2276</v>
      </c>
      <c r="C844" s="4">
        <v>84</v>
      </c>
      <c r="D844" s="3" t="s">
        <v>37</v>
      </c>
      <c r="E844" s="5">
        <v>45803</v>
      </c>
      <c r="F844" s="5">
        <v>45596</v>
      </c>
      <c r="G844" s="3" t="s">
        <v>2277</v>
      </c>
      <c r="H844" s="3" t="s">
        <v>13</v>
      </c>
      <c r="I844" s="2">
        <v>385.01</v>
      </c>
      <c r="J844" s="3" t="s">
        <v>30</v>
      </c>
      <c r="K844">
        <f t="shared" si="26"/>
        <v>2025</v>
      </c>
      <c r="L844" t="str">
        <f t="shared" si="27"/>
        <v>81-90</v>
      </c>
      <c r="M844">
        <f>Table2[[#This Row],[appointment_date]]-Table2[[#This Row],[booking_date]]</f>
        <v>207</v>
      </c>
    </row>
    <row r="845" spans="1:13" x14ac:dyDescent="0.25">
      <c r="A845" s="4">
        <v>1073</v>
      </c>
      <c r="B845" s="3" t="s">
        <v>2278</v>
      </c>
      <c r="C845" s="4">
        <v>18</v>
      </c>
      <c r="D845" s="3" t="s">
        <v>37</v>
      </c>
      <c r="E845" s="5">
        <v>45886</v>
      </c>
      <c r="F845" s="5">
        <v>45833</v>
      </c>
      <c r="G845" s="3" t="s">
        <v>2279</v>
      </c>
      <c r="H845" s="3" t="s">
        <v>18</v>
      </c>
      <c r="I845" s="2">
        <v>652.94000000000005</v>
      </c>
      <c r="J845" s="3" t="s">
        <v>35</v>
      </c>
      <c r="K845">
        <f t="shared" si="26"/>
        <v>2025</v>
      </c>
      <c r="L845" t="str">
        <f t="shared" si="27"/>
        <v>18-30</v>
      </c>
      <c r="M845">
        <f>Table2[[#This Row],[appointment_date]]-Table2[[#This Row],[booking_date]]</f>
        <v>53</v>
      </c>
    </row>
    <row r="846" spans="1:13" x14ac:dyDescent="0.25">
      <c r="A846" s="4">
        <v>1009</v>
      </c>
      <c r="B846" s="3" t="s">
        <v>2281</v>
      </c>
      <c r="C846" s="4">
        <v>30</v>
      </c>
      <c r="D846" s="3" t="s">
        <v>37</v>
      </c>
      <c r="E846" s="5">
        <v>45835</v>
      </c>
      <c r="F846" s="5">
        <v>45798</v>
      </c>
      <c r="G846" s="3" t="s">
        <v>2282</v>
      </c>
      <c r="H846" s="3" t="s">
        <v>28</v>
      </c>
      <c r="I846" s="2">
        <v>168.86</v>
      </c>
      <c r="J846" s="3" t="s">
        <v>35</v>
      </c>
      <c r="K846">
        <f t="shared" si="26"/>
        <v>2025</v>
      </c>
      <c r="L846" t="str">
        <f t="shared" si="27"/>
        <v>18-30</v>
      </c>
      <c r="M846">
        <f>Table2[[#This Row],[appointment_date]]-Table2[[#This Row],[booking_date]]</f>
        <v>37</v>
      </c>
    </row>
    <row r="847" spans="1:13" x14ac:dyDescent="0.25">
      <c r="A847" s="4">
        <v>1029</v>
      </c>
      <c r="B847" s="3" t="s">
        <v>2283</v>
      </c>
      <c r="C847" s="4">
        <v>23</v>
      </c>
      <c r="D847" s="3" t="s">
        <v>37</v>
      </c>
      <c r="E847" s="5">
        <v>46054</v>
      </c>
      <c r="F847" s="5">
        <v>45904</v>
      </c>
      <c r="G847" s="3" t="s">
        <v>2284</v>
      </c>
      <c r="H847" s="3" t="s">
        <v>18</v>
      </c>
      <c r="I847" s="2">
        <v>463.06</v>
      </c>
      <c r="J847" s="3" t="s">
        <v>35</v>
      </c>
      <c r="K847">
        <f t="shared" si="26"/>
        <v>2026</v>
      </c>
      <c r="L847" t="str">
        <f t="shared" si="27"/>
        <v>18-30</v>
      </c>
      <c r="M847">
        <f>Table2[[#This Row],[appointment_date]]-Table2[[#This Row],[booking_date]]</f>
        <v>150</v>
      </c>
    </row>
    <row r="848" spans="1:13" x14ac:dyDescent="0.25">
      <c r="A848" s="4">
        <v>1047</v>
      </c>
      <c r="B848" s="3" t="s">
        <v>2285</v>
      </c>
      <c r="C848" s="4">
        <v>66</v>
      </c>
      <c r="D848" s="3" t="s">
        <v>68</v>
      </c>
      <c r="E848" s="5">
        <v>45890</v>
      </c>
      <c r="F848" s="5">
        <v>45448</v>
      </c>
      <c r="G848" s="3" t="s">
        <v>2286</v>
      </c>
      <c r="H848" s="3" t="s">
        <v>28</v>
      </c>
      <c r="I848" s="2">
        <v>261.87</v>
      </c>
      <c r="J848" s="3" t="s">
        <v>30</v>
      </c>
      <c r="K848">
        <f t="shared" si="26"/>
        <v>2025</v>
      </c>
      <c r="L848" t="str">
        <f t="shared" si="27"/>
        <v>61-70</v>
      </c>
      <c r="M848">
        <f>Table2[[#This Row],[appointment_date]]-Table2[[#This Row],[booking_date]]</f>
        <v>442</v>
      </c>
    </row>
    <row r="849" spans="1:13" x14ac:dyDescent="0.25">
      <c r="A849" s="4">
        <v>1091</v>
      </c>
      <c r="B849" s="3" t="s">
        <v>2287</v>
      </c>
      <c r="C849" s="4">
        <v>25</v>
      </c>
      <c r="D849" s="3" t="s">
        <v>68</v>
      </c>
      <c r="E849" s="5">
        <v>45980</v>
      </c>
      <c r="F849" s="5">
        <v>45976</v>
      </c>
      <c r="G849" s="3" t="s">
        <v>2288</v>
      </c>
      <c r="H849" s="3" t="s">
        <v>13</v>
      </c>
      <c r="I849" s="2">
        <v>1.88</v>
      </c>
      <c r="J849" s="3" t="s">
        <v>30</v>
      </c>
      <c r="K849">
        <f t="shared" si="26"/>
        <v>2025</v>
      </c>
      <c r="L849" t="str">
        <f t="shared" si="27"/>
        <v>18-30</v>
      </c>
      <c r="M849">
        <f>Table2[[#This Row],[appointment_date]]-Table2[[#This Row],[booking_date]]</f>
        <v>4</v>
      </c>
    </row>
    <row r="850" spans="1:13" x14ac:dyDescent="0.25">
      <c r="A850" s="4">
        <v>1026</v>
      </c>
      <c r="B850" s="3" t="s">
        <v>2290</v>
      </c>
      <c r="C850" s="4">
        <v>56</v>
      </c>
      <c r="D850" s="3" t="s">
        <v>37</v>
      </c>
      <c r="E850" s="5">
        <v>46011</v>
      </c>
      <c r="F850" s="5">
        <v>45832</v>
      </c>
      <c r="G850" s="3" t="s">
        <v>2291</v>
      </c>
      <c r="H850" s="3" t="s">
        <v>28</v>
      </c>
      <c r="I850" s="2">
        <v>197.66</v>
      </c>
      <c r="J850" s="3" t="s">
        <v>30</v>
      </c>
      <c r="K850">
        <f t="shared" si="26"/>
        <v>2025</v>
      </c>
      <c r="L850" t="str">
        <f t="shared" si="27"/>
        <v>51-60</v>
      </c>
      <c r="M850">
        <f>Table2[[#This Row],[appointment_date]]-Table2[[#This Row],[booking_date]]</f>
        <v>179</v>
      </c>
    </row>
    <row r="851" spans="1:13" x14ac:dyDescent="0.25">
      <c r="A851" s="4">
        <v>1075</v>
      </c>
      <c r="B851" s="3" t="s">
        <v>2292</v>
      </c>
      <c r="C851" s="4">
        <v>85</v>
      </c>
      <c r="D851" s="3" t="s">
        <v>37</v>
      </c>
      <c r="E851" s="5">
        <v>46090</v>
      </c>
      <c r="F851" s="5">
        <v>45734</v>
      </c>
      <c r="G851" s="3" t="s">
        <v>2293</v>
      </c>
      <c r="H851" s="3" t="s">
        <v>24</v>
      </c>
      <c r="I851" s="2">
        <v>604.13</v>
      </c>
      <c r="J851" s="3" t="s">
        <v>30</v>
      </c>
      <c r="K851">
        <f t="shared" si="26"/>
        <v>2026</v>
      </c>
      <c r="L851" t="str">
        <f t="shared" si="27"/>
        <v>81-90</v>
      </c>
      <c r="M851">
        <f>Table2[[#This Row],[appointment_date]]-Table2[[#This Row],[booking_date]]</f>
        <v>356</v>
      </c>
    </row>
    <row r="852" spans="1:13" x14ac:dyDescent="0.25">
      <c r="A852" s="4">
        <v>1089</v>
      </c>
      <c r="B852" s="3" t="s">
        <v>2295</v>
      </c>
      <c r="C852" s="4">
        <v>76</v>
      </c>
      <c r="D852" s="3" t="s">
        <v>37</v>
      </c>
      <c r="E852" s="5">
        <v>46102</v>
      </c>
      <c r="F852" s="5">
        <v>45555</v>
      </c>
      <c r="G852" s="3" t="s">
        <v>2296</v>
      </c>
      <c r="H852" s="3" t="s">
        <v>24</v>
      </c>
      <c r="I852" s="2">
        <v>116.82</v>
      </c>
      <c r="J852" s="3" t="s">
        <v>35</v>
      </c>
      <c r="K852">
        <f t="shared" si="26"/>
        <v>2026</v>
      </c>
      <c r="L852" t="str">
        <f t="shared" si="27"/>
        <v>71-80</v>
      </c>
      <c r="M852">
        <f>Table2[[#This Row],[appointment_date]]-Table2[[#This Row],[booking_date]]</f>
        <v>547</v>
      </c>
    </row>
    <row r="853" spans="1:13" x14ac:dyDescent="0.25">
      <c r="A853" s="4">
        <v>1031</v>
      </c>
      <c r="B853" s="3" t="s">
        <v>2298</v>
      </c>
      <c r="C853" s="4">
        <v>43</v>
      </c>
      <c r="D853" s="3" t="s">
        <v>68</v>
      </c>
      <c r="E853" s="5">
        <v>45896</v>
      </c>
      <c r="F853" s="5">
        <v>45423</v>
      </c>
      <c r="G853" s="3" t="s">
        <v>2299</v>
      </c>
      <c r="H853" s="3" t="s">
        <v>24</v>
      </c>
      <c r="I853" s="2">
        <v>263.10000000000002</v>
      </c>
      <c r="J853" s="3" t="s">
        <v>35</v>
      </c>
      <c r="K853">
        <f t="shared" si="26"/>
        <v>2025</v>
      </c>
      <c r="L853" t="str">
        <f t="shared" si="27"/>
        <v>41-50</v>
      </c>
      <c r="M853">
        <f>Table2[[#This Row],[appointment_date]]-Table2[[#This Row],[booking_date]]</f>
        <v>473</v>
      </c>
    </row>
    <row r="854" spans="1:13" x14ac:dyDescent="0.25">
      <c r="A854" s="4">
        <v>1082</v>
      </c>
      <c r="B854" s="3" t="s">
        <v>2300</v>
      </c>
      <c r="C854" s="4">
        <v>51</v>
      </c>
      <c r="D854" s="3" t="s">
        <v>68</v>
      </c>
      <c r="E854" s="5">
        <v>45902</v>
      </c>
      <c r="F854" s="5">
        <v>45884</v>
      </c>
      <c r="G854" s="3" t="s">
        <v>2301</v>
      </c>
      <c r="H854" s="3" t="s">
        <v>18</v>
      </c>
      <c r="I854" s="2">
        <v>305.16000000000003</v>
      </c>
      <c r="J854" s="3" t="s">
        <v>30</v>
      </c>
      <c r="K854">
        <f t="shared" si="26"/>
        <v>2025</v>
      </c>
      <c r="L854" t="str">
        <f t="shared" si="27"/>
        <v>51-60</v>
      </c>
      <c r="M854">
        <f>Table2[[#This Row],[appointment_date]]-Table2[[#This Row],[booking_date]]</f>
        <v>18</v>
      </c>
    </row>
    <row r="855" spans="1:13" x14ac:dyDescent="0.25">
      <c r="A855" s="4">
        <v>1022</v>
      </c>
      <c r="B855" s="3" t="s">
        <v>2303</v>
      </c>
      <c r="C855" s="4">
        <v>89</v>
      </c>
      <c r="D855" s="3" t="s">
        <v>37</v>
      </c>
      <c r="E855" s="5">
        <v>46055</v>
      </c>
      <c r="F855" s="5">
        <v>45665</v>
      </c>
      <c r="G855" s="3" t="s">
        <v>2304</v>
      </c>
      <c r="H855" s="3" t="s">
        <v>24</v>
      </c>
      <c r="I855" s="2">
        <v>564.62</v>
      </c>
      <c r="J855" s="3" t="s">
        <v>35</v>
      </c>
      <c r="K855">
        <f t="shared" si="26"/>
        <v>2026</v>
      </c>
      <c r="L855" t="str">
        <f t="shared" si="27"/>
        <v>81-90</v>
      </c>
      <c r="M855">
        <f>Table2[[#This Row],[appointment_date]]-Table2[[#This Row],[booking_date]]</f>
        <v>390</v>
      </c>
    </row>
    <row r="856" spans="1:13" x14ac:dyDescent="0.25">
      <c r="A856" s="4">
        <v>1063</v>
      </c>
      <c r="B856" s="3" t="s">
        <v>2306</v>
      </c>
      <c r="C856" s="4">
        <v>48</v>
      </c>
      <c r="D856" s="3" t="s">
        <v>37</v>
      </c>
      <c r="E856" s="5">
        <v>46045</v>
      </c>
      <c r="F856" s="5">
        <v>45943</v>
      </c>
      <c r="G856" s="3" t="s">
        <v>2307</v>
      </c>
      <c r="H856" s="3" t="s">
        <v>18</v>
      </c>
      <c r="I856" s="2">
        <v>248.84</v>
      </c>
      <c r="J856" s="3" t="s">
        <v>30</v>
      </c>
      <c r="K856">
        <f t="shared" si="26"/>
        <v>2026</v>
      </c>
      <c r="L856" t="str">
        <f t="shared" si="27"/>
        <v>41-50</v>
      </c>
      <c r="M856">
        <f>Table2[[#This Row],[appointment_date]]-Table2[[#This Row],[booking_date]]</f>
        <v>102</v>
      </c>
    </row>
    <row r="857" spans="1:13" x14ac:dyDescent="0.25">
      <c r="A857" s="4">
        <v>1009</v>
      </c>
      <c r="B857" s="3" t="s">
        <v>2308</v>
      </c>
      <c r="C857" s="4">
        <v>37</v>
      </c>
      <c r="D857" s="3" t="s">
        <v>68</v>
      </c>
      <c r="E857" s="5">
        <v>45861</v>
      </c>
      <c r="F857" s="5">
        <v>45730</v>
      </c>
      <c r="G857" s="3" t="s">
        <v>2309</v>
      </c>
      <c r="H857" s="3" t="s">
        <v>13</v>
      </c>
      <c r="I857" s="2">
        <v>89.38</v>
      </c>
      <c r="J857" s="3" t="s">
        <v>30</v>
      </c>
      <c r="K857">
        <f t="shared" si="26"/>
        <v>2025</v>
      </c>
      <c r="L857" t="str">
        <f t="shared" si="27"/>
        <v>31-40</v>
      </c>
      <c r="M857">
        <f>Table2[[#This Row],[appointment_date]]-Table2[[#This Row],[booking_date]]</f>
        <v>131</v>
      </c>
    </row>
    <row r="858" spans="1:13" x14ac:dyDescent="0.25">
      <c r="A858" s="4">
        <v>1079</v>
      </c>
      <c r="B858" s="3" t="s">
        <v>2310</v>
      </c>
      <c r="C858" s="4">
        <v>64</v>
      </c>
      <c r="D858" s="3" t="s">
        <v>68</v>
      </c>
      <c r="E858" s="5">
        <v>45871</v>
      </c>
      <c r="F858" s="5">
        <v>45808</v>
      </c>
      <c r="G858" s="3" t="s">
        <v>2311</v>
      </c>
      <c r="H858" s="3" t="s">
        <v>24</v>
      </c>
      <c r="I858" s="2">
        <v>124.1</v>
      </c>
      <c r="J858" s="3" t="s">
        <v>35</v>
      </c>
      <c r="K858">
        <f t="shared" si="26"/>
        <v>2025</v>
      </c>
      <c r="L858" t="str">
        <f t="shared" si="27"/>
        <v>61-70</v>
      </c>
      <c r="M858">
        <f>Table2[[#This Row],[appointment_date]]-Table2[[#This Row],[booking_date]]</f>
        <v>63</v>
      </c>
    </row>
    <row r="859" spans="1:13" x14ac:dyDescent="0.25">
      <c r="A859" s="4">
        <v>1001</v>
      </c>
      <c r="B859" s="3" t="s">
        <v>2313</v>
      </c>
      <c r="C859" s="4">
        <v>25</v>
      </c>
      <c r="D859" s="3" t="s">
        <v>37</v>
      </c>
      <c r="E859" s="5">
        <v>46062</v>
      </c>
      <c r="F859" s="5">
        <v>45676</v>
      </c>
      <c r="G859" s="3" t="s">
        <v>2314</v>
      </c>
      <c r="H859" s="3" t="s">
        <v>18</v>
      </c>
      <c r="I859" s="2">
        <v>217.51</v>
      </c>
      <c r="J859" s="3" t="s">
        <v>35</v>
      </c>
      <c r="K859">
        <f t="shared" si="26"/>
        <v>2026</v>
      </c>
      <c r="L859" t="str">
        <f t="shared" si="27"/>
        <v>18-30</v>
      </c>
      <c r="M859">
        <f>Table2[[#This Row],[appointment_date]]-Table2[[#This Row],[booking_date]]</f>
        <v>386</v>
      </c>
    </row>
    <row r="860" spans="1:13" x14ac:dyDescent="0.25">
      <c r="A860" s="4">
        <v>1022</v>
      </c>
      <c r="B860" s="3" t="s">
        <v>2315</v>
      </c>
      <c r="C860" s="4">
        <v>78</v>
      </c>
      <c r="D860" s="3" t="s">
        <v>68</v>
      </c>
      <c r="E860" s="5">
        <v>45939</v>
      </c>
      <c r="F860" s="5">
        <v>45832</v>
      </c>
      <c r="G860" s="3" t="s">
        <v>2316</v>
      </c>
      <c r="H860" s="3" t="s">
        <v>28</v>
      </c>
      <c r="I860" s="2">
        <v>479.34</v>
      </c>
      <c r="J860" s="3" t="s">
        <v>35</v>
      </c>
      <c r="K860">
        <f t="shared" si="26"/>
        <v>2025</v>
      </c>
      <c r="L860" t="str">
        <f t="shared" si="27"/>
        <v>71-80</v>
      </c>
      <c r="M860">
        <f>Table2[[#This Row],[appointment_date]]-Table2[[#This Row],[booking_date]]</f>
        <v>107</v>
      </c>
    </row>
    <row r="861" spans="1:13" x14ac:dyDescent="0.25">
      <c r="A861" s="4">
        <v>1008</v>
      </c>
      <c r="B861" s="3" t="s">
        <v>2318</v>
      </c>
      <c r="C861" s="4">
        <v>77</v>
      </c>
      <c r="D861" s="3" t="s">
        <v>37</v>
      </c>
      <c r="E861" s="5">
        <v>46029</v>
      </c>
      <c r="F861" s="5">
        <v>45472</v>
      </c>
      <c r="G861" s="3" t="s">
        <v>2319</v>
      </c>
      <c r="H861" s="3" t="s">
        <v>13</v>
      </c>
      <c r="I861" s="2">
        <v>298.89</v>
      </c>
      <c r="J861" s="3" t="s">
        <v>35</v>
      </c>
      <c r="K861">
        <f t="shared" si="26"/>
        <v>2026</v>
      </c>
      <c r="L861" t="str">
        <f t="shared" si="27"/>
        <v>71-80</v>
      </c>
      <c r="M861">
        <f>Table2[[#This Row],[appointment_date]]-Table2[[#This Row],[booking_date]]</f>
        <v>557</v>
      </c>
    </row>
    <row r="862" spans="1:13" x14ac:dyDescent="0.25">
      <c r="A862" s="4">
        <v>1100</v>
      </c>
      <c r="B862" s="3" t="s">
        <v>2320</v>
      </c>
      <c r="C862" s="4">
        <v>46</v>
      </c>
      <c r="D862" s="3" t="s">
        <v>68</v>
      </c>
      <c r="E862" s="5">
        <v>46054</v>
      </c>
      <c r="F862" s="5">
        <v>45835</v>
      </c>
      <c r="G862" s="3" t="s">
        <v>2321</v>
      </c>
      <c r="H862" s="3" t="s">
        <v>13</v>
      </c>
      <c r="I862" s="2">
        <v>243</v>
      </c>
      <c r="J862" s="3" t="s">
        <v>35</v>
      </c>
      <c r="K862">
        <f t="shared" si="26"/>
        <v>2026</v>
      </c>
      <c r="L862" t="str">
        <f t="shared" si="27"/>
        <v>41-50</v>
      </c>
      <c r="M862">
        <f>Table2[[#This Row],[appointment_date]]-Table2[[#This Row],[booking_date]]</f>
        <v>219</v>
      </c>
    </row>
    <row r="863" spans="1:13" x14ac:dyDescent="0.25">
      <c r="A863" s="4">
        <v>1074</v>
      </c>
      <c r="B863" s="3" t="s">
        <v>2323</v>
      </c>
      <c r="C863" s="4">
        <v>90</v>
      </c>
      <c r="D863" s="3" t="s">
        <v>37</v>
      </c>
      <c r="E863" s="5">
        <v>45966</v>
      </c>
      <c r="F863" s="5">
        <v>45449</v>
      </c>
      <c r="G863" s="3" t="s">
        <v>2324</v>
      </c>
      <c r="H863" s="3" t="s">
        <v>28</v>
      </c>
      <c r="I863" s="2">
        <v>392.13</v>
      </c>
      <c r="J863" s="3" t="s">
        <v>30</v>
      </c>
      <c r="K863">
        <f t="shared" si="26"/>
        <v>2025</v>
      </c>
      <c r="L863" t="str">
        <f t="shared" si="27"/>
        <v>81-90</v>
      </c>
      <c r="M863">
        <f>Table2[[#This Row],[appointment_date]]-Table2[[#This Row],[booking_date]]</f>
        <v>517</v>
      </c>
    </row>
    <row r="864" spans="1:13" x14ac:dyDescent="0.25">
      <c r="A864" s="4">
        <v>1037</v>
      </c>
      <c r="B864" s="3" t="s">
        <v>2326</v>
      </c>
      <c r="C864" s="4">
        <v>26</v>
      </c>
      <c r="D864" s="3" t="s">
        <v>68</v>
      </c>
      <c r="E864" s="5">
        <v>46039</v>
      </c>
      <c r="F864" s="5">
        <v>45471</v>
      </c>
      <c r="G864" s="3" t="s">
        <v>2327</v>
      </c>
      <c r="H864" s="3" t="s">
        <v>28</v>
      </c>
      <c r="I864" s="2">
        <v>177.98</v>
      </c>
      <c r="J864" s="3" t="s">
        <v>30</v>
      </c>
      <c r="K864">
        <f t="shared" si="26"/>
        <v>2026</v>
      </c>
      <c r="L864" t="str">
        <f t="shared" si="27"/>
        <v>18-30</v>
      </c>
      <c r="M864">
        <f>Table2[[#This Row],[appointment_date]]-Table2[[#This Row],[booking_date]]</f>
        <v>568</v>
      </c>
    </row>
    <row r="865" spans="1:13" x14ac:dyDescent="0.25">
      <c r="A865" s="4">
        <v>1094</v>
      </c>
      <c r="B865" s="3" t="s">
        <v>2329</v>
      </c>
      <c r="C865" s="4">
        <v>22</v>
      </c>
      <c r="D865" s="3" t="s">
        <v>37</v>
      </c>
      <c r="E865" s="5">
        <v>46097</v>
      </c>
      <c r="F865" s="5">
        <v>45622</v>
      </c>
      <c r="G865" s="3" t="s">
        <v>2330</v>
      </c>
      <c r="H865" s="3" t="s">
        <v>18</v>
      </c>
      <c r="I865" s="2">
        <v>609.05999999999995</v>
      </c>
      <c r="J865" s="3" t="s">
        <v>35</v>
      </c>
      <c r="K865">
        <f t="shared" si="26"/>
        <v>2026</v>
      </c>
      <c r="L865" t="str">
        <f t="shared" si="27"/>
        <v>18-30</v>
      </c>
      <c r="M865">
        <f>Table2[[#This Row],[appointment_date]]-Table2[[#This Row],[booking_date]]</f>
        <v>475</v>
      </c>
    </row>
    <row r="866" spans="1:13" x14ac:dyDescent="0.25">
      <c r="A866" s="4">
        <v>1066</v>
      </c>
      <c r="B866" s="3" t="s">
        <v>2332</v>
      </c>
      <c r="C866" s="4">
        <v>36</v>
      </c>
      <c r="D866" s="3" t="s">
        <v>37</v>
      </c>
      <c r="E866" s="5">
        <v>46033</v>
      </c>
      <c r="F866" s="5">
        <v>45930</v>
      </c>
      <c r="G866" s="3" t="s">
        <v>2333</v>
      </c>
      <c r="H866" s="3" t="s">
        <v>13</v>
      </c>
      <c r="I866" s="2">
        <v>146.61000000000001</v>
      </c>
      <c r="J866" s="3" t="s">
        <v>30</v>
      </c>
      <c r="K866">
        <f t="shared" si="26"/>
        <v>2026</v>
      </c>
      <c r="L866" t="str">
        <f t="shared" si="27"/>
        <v>31-40</v>
      </c>
      <c r="M866">
        <f>Table2[[#This Row],[appointment_date]]-Table2[[#This Row],[booking_date]]</f>
        <v>103</v>
      </c>
    </row>
    <row r="867" spans="1:13" x14ac:dyDescent="0.25">
      <c r="A867" s="4">
        <v>1084</v>
      </c>
      <c r="B867" s="3" t="s">
        <v>2335</v>
      </c>
      <c r="C867" s="4">
        <v>83</v>
      </c>
      <c r="D867" s="3" t="s">
        <v>37</v>
      </c>
      <c r="E867" s="5">
        <v>45865</v>
      </c>
      <c r="F867" s="5">
        <v>45744</v>
      </c>
      <c r="G867" s="3" t="s">
        <v>2336</v>
      </c>
      <c r="H867" s="3" t="s">
        <v>18</v>
      </c>
      <c r="I867" s="2">
        <v>318.44</v>
      </c>
      <c r="J867" s="3" t="s">
        <v>30</v>
      </c>
      <c r="K867">
        <f t="shared" si="26"/>
        <v>2025</v>
      </c>
      <c r="L867" t="str">
        <f t="shared" si="27"/>
        <v>81-90</v>
      </c>
      <c r="M867">
        <f>Table2[[#This Row],[appointment_date]]-Table2[[#This Row],[booking_date]]</f>
        <v>121</v>
      </c>
    </row>
    <row r="868" spans="1:13" x14ac:dyDescent="0.25">
      <c r="A868" s="4">
        <v>1008</v>
      </c>
      <c r="B868" s="3" t="s">
        <v>2337</v>
      </c>
      <c r="C868" s="4">
        <v>44</v>
      </c>
      <c r="D868" s="3" t="s">
        <v>37</v>
      </c>
      <c r="E868" s="5">
        <v>45937</v>
      </c>
      <c r="F868" s="5">
        <v>45613</v>
      </c>
      <c r="G868" s="3" t="s">
        <v>2338</v>
      </c>
      <c r="H868" s="3" t="s">
        <v>24</v>
      </c>
      <c r="I868" s="2">
        <v>3.21</v>
      </c>
      <c r="J868" s="3" t="s">
        <v>30</v>
      </c>
      <c r="K868">
        <f t="shared" si="26"/>
        <v>2025</v>
      </c>
      <c r="L868" t="str">
        <f t="shared" si="27"/>
        <v>41-50</v>
      </c>
      <c r="M868">
        <f>Table2[[#This Row],[appointment_date]]-Table2[[#This Row],[booking_date]]</f>
        <v>324</v>
      </c>
    </row>
    <row r="869" spans="1:13" x14ac:dyDescent="0.25">
      <c r="A869" s="4">
        <v>1039</v>
      </c>
      <c r="B869" s="3" t="s">
        <v>2340</v>
      </c>
      <c r="C869" s="4">
        <v>69</v>
      </c>
      <c r="D869" s="3" t="s">
        <v>37</v>
      </c>
      <c r="E869" s="5">
        <v>46057</v>
      </c>
      <c r="F869" s="5">
        <v>45582</v>
      </c>
      <c r="G869" s="3" t="s">
        <v>2341</v>
      </c>
      <c r="H869" s="3" t="s">
        <v>13</v>
      </c>
      <c r="I869" s="2">
        <v>161.56</v>
      </c>
      <c r="J869" s="3" t="s">
        <v>35</v>
      </c>
      <c r="K869">
        <f t="shared" si="26"/>
        <v>2026</v>
      </c>
      <c r="L869" t="str">
        <f t="shared" si="27"/>
        <v>61-70</v>
      </c>
      <c r="M869">
        <f>Table2[[#This Row],[appointment_date]]-Table2[[#This Row],[booking_date]]</f>
        <v>475</v>
      </c>
    </row>
    <row r="870" spans="1:13" x14ac:dyDescent="0.25">
      <c r="A870" s="4">
        <v>1092</v>
      </c>
      <c r="B870" s="3" t="s">
        <v>2342</v>
      </c>
      <c r="C870" s="4">
        <v>58</v>
      </c>
      <c r="D870" s="3" t="s">
        <v>68</v>
      </c>
      <c r="E870" s="5">
        <v>45843</v>
      </c>
      <c r="F870" s="5">
        <v>45793</v>
      </c>
      <c r="G870" s="3" t="s">
        <v>2343</v>
      </c>
      <c r="H870" s="3" t="s">
        <v>28</v>
      </c>
      <c r="I870" s="2">
        <v>89.38</v>
      </c>
      <c r="J870" s="3" t="s">
        <v>35</v>
      </c>
      <c r="K870">
        <f t="shared" si="26"/>
        <v>2025</v>
      </c>
      <c r="L870" t="str">
        <f t="shared" si="27"/>
        <v>51-60</v>
      </c>
      <c r="M870">
        <f>Table2[[#This Row],[appointment_date]]-Table2[[#This Row],[booking_date]]</f>
        <v>50</v>
      </c>
    </row>
    <row r="871" spans="1:13" x14ac:dyDescent="0.25">
      <c r="A871" s="4">
        <v>1023</v>
      </c>
      <c r="B871" s="3" t="s">
        <v>2345</v>
      </c>
      <c r="C871" s="4">
        <v>76</v>
      </c>
      <c r="D871" s="3" t="s">
        <v>68</v>
      </c>
      <c r="E871" s="5">
        <v>45888</v>
      </c>
      <c r="F871" s="5">
        <v>45884</v>
      </c>
      <c r="G871" s="3" t="s">
        <v>2346</v>
      </c>
      <c r="H871" s="3" t="s">
        <v>28</v>
      </c>
      <c r="I871" s="2">
        <v>1.67</v>
      </c>
      <c r="J871" s="3" t="s">
        <v>35</v>
      </c>
      <c r="K871">
        <f t="shared" si="26"/>
        <v>2025</v>
      </c>
      <c r="L871" t="str">
        <f t="shared" si="27"/>
        <v>71-80</v>
      </c>
      <c r="M871">
        <f>Table2[[#This Row],[appointment_date]]-Table2[[#This Row],[booking_date]]</f>
        <v>4</v>
      </c>
    </row>
    <row r="872" spans="1:13" x14ac:dyDescent="0.25">
      <c r="A872" s="4">
        <v>1004</v>
      </c>
      <c r="B872" s="3" t="s">
        <v>2348</v>
      </c>
      <c r="C872" s="4">
        <v>67</v>
      </c>
      <c r="D872" s="3" t="s">
        <v>68</v>
      </c>
      <c r="E872" s="5">
        <v>45981</v>
      </c>
      <c r="F872" s="5">
        <v>45871</v>
      </c>
      <c r="G872" s="3" t="s">
        <v>2349</v>
      </c>
      <c r="H872" s="3" t="s">
        <v>24</v>
      </c>
      <c r="I872" s="2">
        <v>3.72</v>
      </c>
      <c r="J872" s="3" t="s">
        <v>35</v>
      </c>
      <c r="K872">
        <f t="shared" si="26"/>
        <v>2025</v>
      </c>
      <c r="L872" t="str">
        <f t="shared" si="27"/>
        <v>61-70</v>
      </c>
      <c r="M872">
        <f>Table2[[#This Row],[appointment_date]]-Table2[[#This Row],[booking_date]]</f>
        <v>110</v>
      </c>
    </row>
    <row r="873" spans="1:13" x14ac:dyDescent="0.25">
      <c r="A873" s="4">
        <v>1056</v>
      </c>
      <c r="B873" s="3" t="s">
        <v>2351</v>
      </c>
      <c r="C873" s="4">
        <v>30</v>
      </c>
      <c r="D873" s="3"/>
      <c r="E873" s="5">
        <v>45806</v>
      </c>
      <c r="F873" s="5">
        <v>45443</v>
      </c>
      <c r="G873" s="3" t="s">
        <v>2352</v>
      </c>
      <c r="H873" s="3" t="s">
        <v>18</v>
      </c>
      <c r="I873" s="2">
        <v>494.95</v>
      </c>
      <c r="J873" s="3" t="s">
        <v>35</v>
      </c>
      <c r="K873">
        <f t="shared" si="26"/>
        <v>2025</v>
      </c>
      <c r="L873" t="str">
        <f t="shared" si="27"/>
        <v>18-30</v>
      </c>
      <c r="M873">
        <f>Table2[[#This Row],[appointment_date]]-Table2[[#This Row],[booking_date]]</f>
        <v>363</v>
      </c>
    </row>
    <row r="874" spans="1:13" x14ac:dyDescent="0.25">
      <c r="A874" s="4">
        <v>1077</v>
      </c>
      <c r="B874" s="3" t="s">
        <v>2354</v>
      </c>
      <c r="C874" s="4">
        <v>78</v>
      </c>
      <c r="D874" s="3" t="s">
        <v>68</v>
      </c>
      <c r="E874" s="5">
        <v>45970</v>
      </c>
      <c r="F874" s="5">
        <v>45852</v>
      </c>
      <c r="G874" s="3" t="s">
        <v>2355</v>
      </c>
      <c r="H874" s="3" t="s">
        <v>18</v>
      </c>
      <c r="I874" s="2">
        <v>1.26</v>
      </c>
      <c r="J874" s="3" t="s">
        <v>35</v>
      </c>
      <c r="K874">
        <f t="shared" si="26"/>
        <v>2025</v>
      </c>
      <c r="L874" t="str">
        <f t="shared" si="27"/>
        <v>71-80</v>
      </c>
      <c r="M874">
        <f>Table2[[#This Row],[appointment_date]]-Table2[[#This Row],[booking_date]]</f>
        <v>118</v>
      </c>
    </row>
    <row r="875" spans="1:13" x14ac:dyDescent="0.25">
      <c r="A875" s="4">
        <v>1081</v>
      </c>
      <c r="B875" s="3" t="s">
        <v>2201</v>
      </c>
      <c r="C875" s="4">
        <v>45</v>
      </c>
      <c r="D875" s="3" t="s">
        <v>68</v>
      </c>
      <c r="E875" s="5">
        <v>46102</v>
      </c>
      <c r="F875" s="5">
        <v>45416</v>
      </c>
      <c r="G875" s="3" t="s">
        <v>2357</v>
      </c>
      <c r="H875" s="3" t="s">
        <v>28</v>
      </c>
      <c r="I875" s="2">
        <v>539.42999999999995</v>
      </c>
      <c r="J875" s="3" t="s">
        <v>35</v>
      </c>
      <c r="K875">
        <f t="shared" si="26"/>
        <v>2026</v>
      </c>
      <c r="L875" t="str">
        <f t="shared" si="27"/>
        <v>41-50</v>
      </c>
      <c r="M875">
        <f>Table2[[#This Row],[appointment_date]]-Table2[[#This Row],[booking_date]]</f>
        <v>686</v>
      </c>
    </row>
    <row r="876" spans="1:13" x14ac:dyDescent="0.25">
      <c r="A876" s="4">
        <v>1078</v>
      </c>
      <c r="B876" s="3" t="s">
        <v>2359</v>
      </c>
      <c r="C876" s="4">
        <v>25</v>
      </c>
      <c r="D876" s="3" t="s">
        <v>37</v>
      </c>
      <c r="E876" s="5">
        <v>45977</v>
      </c>
      <c r="F876" s="5">
        <v>45557</v>
      </c>
      <c r="G876" s="3" t="s">
        <v>2360</v>
      </c>
      <c r="H876" s="3" t="s">
        <v>13</v>
      </c>
      <c r="I876" s="2">
        <v>368.56</v>
      </c>
      <c r="J876" s="3" t="s">
        <v>30</v>
      </c>
      <c r="K876">
        <f t="shared" si="26"/>
        <v>2025</v>
      </c>
      <c r="L876" t="str">
        <f t="shared" si="27"/>
        <v>18-30</v>
      </c>
      <c r="M876">
        <f>Table2[[#This Row],[appointment_date]]-Table2[[#This Row],[booking_date]]</f>
        <v>420</v>
      </c>
    </row>
    <row r="877" spans="1:13" x14ac:dyDescent="0.25">
      <c r="A877" s="4">
        <v>1054</v>
      </c>
      <c r="B877" s="3" t="s">
        <v>2361</v>
      </c>
      <c r="C877" s="4">
        <v>50</v>
      </c>
      <c r="D877" s="3" t="s">
        <v>37</v>
      </c>
      <c r="E877" s="5">
        <v>45813</v>
      </c>
      <c r="F877" s="5">
        <v>45645</v>
      </c>
      <c r="G877" s="3" t="s">
        <v>2362</v>
      </c>
      <c r="H877" s="3" t="s">
        <v>28</v>
      </c>
      <c r="I877" s="2">
        <v>5.46</v>
      </c>
      <c r="J877" s="3" t="s">
        <v>30</v>
      </c>
      <c r="K877">
        <f t="shared" si="26"/>
        <v>2025</v>
      </c>
      <c r="L877" t="str">
        <f t="shared" si="27"/>
        <v>41-50</v>
      </c>
      <c r="M877">
        <f>Table2[[#This Row],[appointment_date]]-Table2[[#This Row],[booking_date]]</f>
        <v>168</v>
      </c>
    </row>
    <row r="878" spans="1:13" x14ac:dyDescent="0.25">
      <c r="A878" s="4">
        <v>1085</v>
      </c>
      <c r="B878" s="3" t="s">
        <v>2364</v>
      </c>
      <c r="C878" s="4">
        <v>85</v>
      </c>
      <c r="D878" s="3" t="s">
        <v>68</v>
      </c>
      <c r="E878" s="5">
        <v>46031</v>
      </c>
      <c r="F878" s="5">
        <v>45780</v>
      </c>
      <c r="G878" s="3" t="s">
        <v>2365</v>
      </c>
      <c r="H878" s="3" t="s">
        <v>13</v>
      </c>
      <c r="I878" s="2">
        <v>238.75</v>
      </c>
      <c r="J878" s="3" t="s">
        <v>30</v>
      </c>
      <c r="K878">
        <f t="shared" si="26"/>
        <v>2026</v>
      </c>
      <c r="L878" t="str">
        <f t="shared" si="27"/>
        <v>81-90</v>
      </c>
      <c r="M878">
        <f>Table2[[#This Row],[appointment_date]]-Table2[[#This Row],[booking_date]]</f>
        <v>251</v>
      </c>
    </row>
    <row r="879" spans="1:13" x14ac:dyDescent="0.25">
      <c r="A879" s="4">
        <v>1028</v>
      </c>
      <c r="B879" s="3" t="s">
        <v>2367</v>
      </c>
      <c r="C879" s="4">
        <v>22</v>
      </c>
      <c r="D879" s="3" t="s">
        <v>68</v>
      </c>
      <c r="E879" s="5">
        <v>46008</v>
      </c>
      <c r="F879" s="5">
        <v>45875</v>
      </c>
      <c r="G879" s="3" t="s">
        <v>2368</v>
      </c>
      <c r="H879" s="3" t="s">
        <v>18</v>
      </c>
      <c r="I879" s="2">
        <v>168.17</v>
      </c>
      <c r="J879" s="3" t="s">
        <v>30</v>
      </c>
      <c r="K879">
        <f t="shared" si="26"/>
        <v>2025</v>
      </c>
      <c r="L879" t="str">
        <f t="shared" si="27"/>
        <v>18-30</v>
      </c>
      <c r="M879">
        <f>Table2[[#This Row],[appointment_date]]-Table2[[#This Row],[booking_date]]</f>
        <v>133</v>
      </c>
    </row>
    <row r="880" spans="1:13" x14ac:dyDescent="0.25">
      <c r="A880" s="4">
        <v>1048</v>
      </c>
      <c r="B880" s="3" t="s">
        <v>2370</v>
      </c>
      <c r="C880" s="4">
        <v>89</v>
      </c>
      <c r="D880" s="3" t="s">
        <v>37</v>
      </c>
      <c r="E880" s="5">
        <v>45858</v>
      </c>
      <c r="F880" s="5">
        <v>45455</v>
      </c>
      <c r="G880" s="3" t="s">
        <v>2371</v>
      </c>
      <c r="H880" s="3" t="s">
        <v>24</v>
      </c>
      <c r="I880" s="2">
        <v>416.29</v>
      </c>
      <c r="J880" s="3" t="s">
        <v>30</v>
      </c>
      <c r="K880">
        <f t="shared" si="26"/>
        <v>2025</v>
      </c>
      <c r="L880" t="str">
        <f t="shared" si="27"/>
        <v>81-90</v>
      </c>
      <c r="M880">
        <f>Table2[[#This Row],[appointment_date]]-Table2[[#This Row],[booking_date]]</f>
        <v>403</v>
      </c>
    </row>
    <row r="881" spans="1:13" x14ac:dyDescent="0.25">
      <c r="A881" s="4">
        <v>1008</v>
      </c>
      <c r="B881" s="3" t="s">
        <v>2373</v>
      </c>
      <c r="C881" s="4">
        <v>34</v>
      </c>
      <c r="D881" s="3" t="s">
        <v>37</v>
      </c>
      <c r="E881" s="5">
        <v>45940</v>
      </c>
      <c r="F881" s="5">
        <v>45779</v>
      </c>
      <c r="G881" s="3" t="s">
        <v>2374</v>
      </c>
      <c r="H881" s="3" t="s">
        <v>24</v>
      </c>
      <c r="I881" s="2">
        <v>431.45</v>
      </c>
      <c r="J881" s="3" t="s">
        <v>30</v>
      </c>
      <c r="K881">
        <f t="shared" si="26"/>
        <v>2025</v>
      </c>
      <c r="L881" t="str">
        <f t="shared" si="27"/>
        <v>31-40</v>
      </c>
      <c r="M881">
        <f>Table2[[#This Row],[appointment_date]]-Table2[[#This Row],[booking_date]]</f>
        <v>161</v>
      </c>
    </row>
    <row r="882" spans="1:13" x14ac:dyDescent="0.25">
      <c r="A882" s="4">
        <v>1002</v>
      </c>
      <c r="B882" s="3" t="s">
        <v>2375</v>
      </c>
      <c r="C882" s="4">
        <v>22</v>
      </c>
      <c r="D882" s="3" t="s">
        <v>68</v>
      </c>
      <c r="E882" s="5">
        <v>45886</v>
      </c>
      <c r="F882" s="5">
        <v>45662</v>
      </c>
      <c r="G882" s="3" t="s">
        <v>2376</v>
      </c>
      <c r="H882" s="3" t="s">
        <v>18</v>
      </c>
      <c r="I882" s="2">
        <v>251.6</v>
      </c>
      <c r="J882" s="3" t="s">
        <v>30</v>
      </c>
      <c r="K882">
        <f t="shared" si="26"/>
        <v>2025</v>
      </c>
      <c r="L882" t="str">
        <f t="shared" si="27"/>
        <v>18-30</v>
      </c>
      <c r="M882">
        <f>Table2[[#This Row],[appointment_date]]-Table2[[#This Row],[booking_date]]</f>
        <v>224</v>
      </c>
    </row>
    <row r="883" spans="1:13" x14ac:dyDescent="0.25">
      <c r="A883" s="4">
        <v>1013</v>
      </c>
      <c r="B883" s="3" t="s">
        <v>2378</v>
      </c>
      <c r="C883" s="4">
        <v>24</v>
      </c>
      <c r="D883" s="3"/>
      <c r="E883" s="5">
        <v>45757</v>
      </c>
      <c r="F883" s="5">
        <v>45738</v>
      </c>
      <c r="G883" s="3" t="s">
        <v>2379</v>
      </c>
      <c r="H883" s="3" t="s">
        <v>18</v>
      </c>
      <c r="I883" s="2">
        <v>281.70999999999998</v>
      </c>
      <c r="J883" s="3" t="s">
        <v>30</v>
      </c>
      <c r="K883">
        <f t="shared" si="26"/>
        <v>2025</v>
      </c>
      <c r="L883" t="str">
        <f t="shared" si="27"/>
        <v>18-30</v>
      </c>
      <c r="M883">
        <f>Table2[[#This Row],[appointment_date]]-Table2[[#This Row],[booking_date]]</f>
        <v>19</v>
      </c>
    </row>
    <row r="884" spans="1:13" x14ac:dyDescent="0.25">
      <c r="A884" s="4">
        <v>1032</v>
      </c>
      <c r="B884" s="3" t="s">
        <v>2380</v>
      </c>
      <c r="C884" s="4">
        <v>21</v>
      </c>
      <c r="D884" s="3" t="s">
        <v>68</v>
      </c>
      <c r="E884" s="5">
        <v>46061</v>
      </c>
      <c r="F884" s="5">
        <v>45791</v>
      </c>
      <c r="G884" s="3" t="s">
        <v>1921</v>
      </c>
      <c r="H884" s="3" t="s">
        <v>28</v>
      </c>
      <c r="I884" s="2">
        <v>346.43</v>
      </c>
      <c r="J884" s="3" t="s">
        <v>30</v>
      </c>
      <c r="K884">
        <f t="shared" si="26"/>
        <v>2026</v>
      </c>
      <c r="L884" t="str">
        <f t="shared" si="27"/>
        <v>18-30</v>
      </c>
      <c r="M884">
        <f>Table2[[#This Row],[appointment_date]]-Table2[[#This Row],[booking_date]]</f>
        <v>270</v>
      </c>
    </row>
    <row r="885" spans="1:13" x14ac:dyDescent="0.25">
      <c r="A885" s="4">
        <v>1074</v>
      </c>
      <c r="B885" s="3" t="s">
        <v>2382</v>
      </c>
      <c r="C885" s="4">
        <v>23</v>
      </c>
      <c r="D885" s="3" t="s">
        <v>68</v>
      </c>
      <c r="E885" s="5">
        <v>45803</v>
      </c>
      <c r="F885" s="5">
        <v>45674</v>
      </c>
      <c r="G885" s="3" t="s">
        <v>2383</v>
      </c>
      <c r="H885" s="3" t="s">
        <v>24</v>
      </c>
      <c r="I885" s="2">
        <v>0.63</v>
      </c>
      <c r="J885" s="3" t="s">
        <v>35</v>
      </c>
      <c r="K885">
        <f t="shared" si="26"/>
        <v>2025</v>
      </c>
      <c r="L885" t="str">
        <f t="shared" si="27"/>
        <v>18-30</v>
      </c>
      <c r="M885">
        <f>Table2[[#This Row],[appointment_date]]-Table2[[#This Row],[booking_date]]</f>
        <v>129</v>
      </c>
    </row>
    <row r="886" spans="1:13" x14ac:dyDescent="0.25">
      <c r="A886" s="4">
        <v>1025</v>
      </c>
      <c r="B886" s="3" t="s">
        <v>2385</v>
      </c>
      <c r="C886" s="4">
        <v>52</v>
      </c>
      <c r="D886" s="3" t="s">
        <v>37</v>
      </c>
      <c r="E886" s="5">
        <v>45813</v>
      </c>
      <c r="F886" s="5">
        <v>45602</v>
      </c>
      <c r="G886" s="3" t="s">
        <v>2386</v>
      </c>
      <c r="H886" s="3" t="s">
        <v>18</v>
      </c>
      <c r="I886" s="2">
        <v>2.42</v>
      </c>
      <c r="J886" s="3" t="s">
        <v>30</v>
      </c>
      <c r="K886">
        <f t="shared" si="26"/>
        <v>2025</v>
      </c>
      <c r="L886" t="str">
        <f t="shared" si="27"/>
        <v>51-60</v>
      </c>
      <c r="M886">
        <f>Table2[[#This Row],[appointment_date]]-Table2[[#This Row],[booking_date]]</f>
        <v>211</v>
      </c>
    </row>
    <row r="887" spans="1:13" x14ac:dyDescent="0.25">
      <c r="A887" s="4">
        <v>1040</v>
      </c>
      <c r="B887" s="3" t="s">
        <v>2388</v>
      </c>
      <c r="C887" s="4">
        <v>36</v>
      </c>
      <c r="D887" s="3"/>
      <c r="E887" s="5">
        <v>45804</v>
      </c>
      <c r="F887" s="5">
        <v>45628</v>
      </c>
      <c r="G887" s="3" t="s">
        <v>2389</v>
      </c>
      <c r="H887" s="3" t="s">
        <v>18</v>
      </c>
      <c r="I887" s="2">
        <v>248.06</v>
      </c>
      <c r="J887" s="3" t="s">
        <v>30</v>
      </c>
      <c r="K887">
        <f t="shared" si="26"/>
        <v>2025</v>
      </c>
      <c r="L887" t="str">
        <f t="shared" si="27"/>
        <v>31-40</v>
      </c>
      <c r="M887">
        <f>Table2[[#This Row],[appointment_date]]-Table2[[#This Row],[booking_date]]</f>
        <v>176</v>
      </c>
    </row>
    <row r="888" spans="1:13" x14ac:dyDescent="0.25">
      <c r="A888" s="4">
        <v>1089</v>
      </c>
      <c r="B888" s="3" t="s">
        <v>2391</v>
      </c>
      <c r="C888" s="4">
        <v>20</v>
      </c>
      <c r="D888" s="3" t="s">
        <v>68</v>
      </c>
      <c r="E888" s="5">
        <v>45933</v>
      </c>
      <c r="F888" s="5">
        <v>45868</v>
      </c>
      <c r="G888" s="3" t="s">
        <v>2392</v>
      </c>
      <c r="H888" s="3" t="s">
        <v>24</v>
      </c>
      <c r="I888" s="2">
        <v>86.3</v>
      </c>
      <c r="J888" s="3" t="s">
        <v>30</v>
      </c>
      <c r="K888">
        <f t="shared" si="26"/>
        <v>2025</v>
      </c>
      <c r="L888" t="str">
        <f t="shared" si="27"/>
        <v>18-30</v>
      </c>
      <c r="M888">
        <f>Table2[[#This Row],[appointment_date]]-Table2[[#This Row],[booking_date]]</f>
        <v>65</v>
      </c>
    </row>
    <row r="889" spans="1:13" x14ac:dyDescent="0.25">
      <c r="A889" s="4">
        <v>1069</v>
      </c>
      <c r="B889" s="3" t="s">
        <v>2394</v>
      </c>
      <c r="C889" s="4">
        <v>32</v>
      </c>
      <c r="D889" s="3" t="s">
        <v>37</v>
      </c>
      <c r="E889" s="5">
        <v>46076</v>
      </c>
      <c r="F889" s="5">
        <v>45671</v>
      </c>
      <c r="G889" s="3" t="s">
        <v>2395</v>
      </c>
      <c r="H889" s="3" t="s">
        <v>28</v>
      </c>
      <c r="I889" s="2">
        <v>277.60000000000002</v>
      </c>
      <c r="J889" s="3" t="s">
        <v>35</v>
      </c>
      <c r="K889">
        <f t="shared" si="26"/>
        <v>2026</v>
      </c>
      <c r="L889" t="str">
        <f t="shared" si="27"/>
        <v>31-40</v>
      </c>
      <c r="M889">
        <f>Table2[[#This Row],[appointment_date]]-Table2[[#This Row],[booking_date]]</f>
        <v>405</v>
      </c>
    </row>
    <row r="890" spans="1:13" x14ac:dyDescent="0.25">
      <c r="A890" s="4">
        <v>1070</v>
      </c>
      <c r="B890" s="3" t="s">
        <v>2397</v>
      </c>
      <c r="C890" s="4">
        <v>38</v>
      </c>
      <c r="D890" s="3" t="s">
        <v>68</v>
      </c>
      <c r="E890" s="5">
        <v>45844</v>
      </c>
      <c r="F890" s="5">
        <v>45770</v>
      </c>
      <c r="G890" s="3" t="s">
        <v>2398</v>
      </c>
      <c r="H890" s="3" t="s">
        <v>24</v>
      </c>
      <c r="I890" s="2">
        <v>518.91</v>
      </c>
      <c r="J890" s="3" t="s">
        <v>35</v>
      </c>
      <c r="K890">
        <f t="shared" si="26"/>
        <v>2025</v>
      </c>
      <c r="L890" t="str">
        <f t="shared" si="27"/>
        <v>31-40</v>
      </c>
      <c r="M890">
        <f>Table2[[#This Row],[appointment_date]]-Table2[[#This Row],[booking_date]]</f>
        <v>74</v>
      </c>
    </row>
    <row r="891" spans="1:13" x14ac:dyDescent="0.25">
      <c r="A891" s="4">
        <v>1070</v>
      </c>
      <c r="B891" s="3" t="s">
        <v>2400</v>
      </c>
      <c r="C891" s="4">
        <v>53</v>
      </c>
      <c r="D891" s="3"/>
      <c r="E891" s="5">
        <v>46040</v>
      </c>
      <c r="F891" s="5">
        <v>45727</v>
      </c>
      <c r="G891" s="3" t="s">
        <v>2401</v>
      </c>
      <c r="H891" s="3" t="s">
        <v>24</v>
      </c>
      <c r="I891" s="2">
        <v>99.46</v>
      </c>
      <c r="J891" s="3" t="s">
        <v>35</v>
      </c>
      <c r="K891">
        <f t="shared" si="26"/>
        <v>2026</v>
      </c>
      <c r="L891" t="str">
        <f t="shared" si="27"/>
        <v>51-60</v>
      </c>
      <c r="M891">
        <f>Table2[[#This Row],[appointment_date]]-Table2[[#This Row],[booking_date]]</f>
        <v>313</v>
      </c>
    </row>
    <row r="892" spans="1:13" x14ac:dyDescent="0.25">
      <c r="A892" s="4">
        <v>1077</v>
      </c>
      <c r="B892" s="3" t="s">
        <v>2403</v>
      </c>
      <c r="C892" s="4">
        <v>58</v>
      </c>
      <c r="D892" s="3" t="s">
        <v>37</v>
      </c>
      <c r="E892" s="5">
        <v>46106</v>
      </c>
      <c r="F892" s="5">
        <v>45954</v>
      </c>
      <c r="G892" s="3" t="s">
        <v>2404</v>
      </c>
      <c r="H892" s="3" t="s">
        <v>24</v>
      </c>
      <c r="I892" s="2">
        <v>199.03</v>
      </c>
      <c r="J892" s="3" t="s">
        <v>30</v>
      </c>
      <c r="K892">
        <f t="shared" si="26"/>
        <v>2026</v>
      </c>
      <c r="L892" t="str">
        <f t="shared" si="27"/>
        <v>51-60</v>
      </c>
      <c r="M892">
        <f>Table2[[#This Row],[appointment_date]]-Table2[[#This Row],[booking_date]]</f>
        <v>152</v>
      </c>
    </row>
    <row r="893" spans="1:13" x14ac:dyDescent="0.25">
      <c r="A893" s="4">
        <v>1082</v>
      </c>
      <c r="B893" s="3" t="s">
        <v>2405</v>
      </c>
      <c r="C893" s="4">
        <v>61</v>
      </c>
      <c r="D893" s="3" t="s">
        <v>68</v>
      </c>
      <c r="E893" s="5">
        <v>45966</v>
      </c>
      <c r="F893" s="5">
        <v>45920</v>
      </c>
      <c r="G893" s="3" t="s">
        <v>946</v>
      </c>
      <c r="H893" s="3" t="s">
        <v>13</v>
      </c>
      <c r="I893" s="2">
        <v>325.97000000000003</v>
      </c>
      <c r="J893" s="3" t="s">
        <v>30</v>
      </c>
      <c r="K893">
        <f t="shared" si="26"/>
        <v>2025</v>
      </c>
      <c r="L893" t="str">
        <f t="shared" si="27"/>
        <v>61-70</v>
      </c>
      <c r="M893">
        <f>Table2[[#This Row],[appointment_date]]-Table2[[#This Row],[booking_date]]</f>
        <v>46</v>
      </c>
    </row>
    <row r="894" spans="1:13" x14ac:dyDescent="0.25">
      <c r="A894" s="4">
        <v>1053</v>
      </c>
      <c r="B894" s="3" t="s">
        <v>2407</v>
      </c>
      <c r="C894" s="4">
        <v>66</v>
      </c>
      <c r="D894" s="3" t="s">
        <v>37</v>
      </c>
      <c r="E894" s="5">
        <v>45893</v>
      </c>
      <c r="F894" s="5">
        <v>45431</v>
      </c>
      <c r="G894" s="3" t="s">
        <v>2408</v>
      </c>
      <c r="H894" s="3" t="s">
        <v>18</v>
      </c>
      <c r="I894" s="2">
        <v>375.1</v>
      </c>
      <c r="J894" s="3" t="s">
        <v>30</v>
      </c>
      <c r="K894">
        <f t="shared" si="26"/>
        <v>2025</v>
      </c>
      <c r="L894" t="str">
        <f t="shared" si="27"/>
        <v>61-70</v>
      </c>
      <c r="M894">
        <f>Table2[[#This Row],[appointment_date]]-Table2[[#This Row],[booking_date]]</f>
        <v>462</v>
      </c>
    </row>
    <row r="895" spans="1:13" x14ac:dyDescent="0.25">
      <c r="A895" s="4">
        <v>1083</v>
      </c>
      <c r="B895" s="3" t="s">
        <v>2410</v>
      </c>
      <c r="C895" s="4">
        <v>18</v>
      </c>
      <c r="D895" s="3" t="s">
        <v>68</v>
      </c>
      <c r="E895" s="5">
        <v>45768</v>
      </c>
      <c r="F895" s="5">
        <v>45539</v>
      </c>
      <c r="G895" s="3" t="s">
        <v>2411</v>
      </c>
      <c r="H895" s="3" t="s">
        <v>24</v>
      </c>
      <c r="I895" s="2">
        <v>4.53</v>
      </c>
      <c r="J895" s="3" t="s">
        <v>35</v>
      </c>
      <c r="K895">
        <f t="shared" si="26"/>
        <v>2025</v>
      </c>
      <c r="L895" t="str">
        <f t="shared" si="27"/>
        <v>18-30</v>
      </c>
      <c r="M895">
        <f>Table2[[#This Row],[appointment_date]]-Table2[[#This Row],[booking_date]]</f>
        <v>229</v>
      </c>
    </row>
    <row r="896" spans="1:13" x14ac:dyDescent="0.25">
      <c r="A896" s="4">
        <v>1096</v>
      </c>
      <c r="B896" s="3" t="s">
        <v>2413</v>
      </c>
      <c r="C896" s="4">
        <v>70</v>
      </c>
      <c r="D896" s="3" t="s">
        <v>68</v>
      </c>
      <c r="E896" s="5">
        <v>45820</v>
      </c>
      <c r="F896" s="5">
        <v>45623</v>
      </c>
      <c r="G896" s="3" t="s">
        <v>2414</v>
      </c>
      <c r="H896" s="3" t="s">
        <v>24</v>
      </c>
      <c r="I896" s="2">
        <v>192.7</v>
      </c>
      <c r="J896" s="3" t="s">
        <v>35</v>
      </c>
      <c r="K896">
        <f t="shared" si="26"/>
        <v>2025</v>
      </c>
      <c r="L896" t="str">
        <f t="shared" si="27"/>
        <v>61-70</v>
      </c>
      <c r="M896">
        <f>Table2[[#This Row],[appointment_date]]-Table2[[#This Row],[booking_date]]</f>
        <v>197</v>
      </c>
    </row>
    <row r="897" spans="1:13" x14ac:dyDescent="0.25">
      <c r="A897" s="4">
        <v>1043</v>
      </c>
      <c r="B897" s="3" t="s">
        <v>2416</v>
      </c>
      <c r="C897" s="4">
        <v>31</v>
      </c>
      <c r="D897" s="3" t="s">
        <v>68</v>
      </c>
      <c r="E897" s="5">
        <v>45982</v>
      </c>
      <c r="F897" s="5">
        <v>45885</v>
      </c>
      <c r="G897" s="3" t="s">
        <v>2417</v>
      </c>
      <c r="H897" s="3" t="s">
        <v>24</v>
      </c>
      <c r="I897" s="2">
        <v>2.19</v>
      </c>
      <c r="J897" s="3" t="s">
        <v>30</v>
      </c>
      <c r="K897">
        <f t="shared" si="26"/>
        <v>2025</v>
      </c>
      <c r="L897" t="str">
        <f t="shared" si="27"/>
        <v>31-40</v>
      </c>
      <c r="M897">
        <f>Table2[[#This Row],[appointment_date]]-Table2[[#This Row],[booking_date]]</f>
        <v>97</v>
      </c>
    </row>
    <row r="898" spans="1:13" x14ac:dyDescent="0.25">
      <c r="A898" s="4">
        <v>1058</v>
      </c>
      <c r="B898" s="3" t="s">
        <v>2419</v>
      </c>
      <c r="C898" s="4">
        <v>64</v>
      </c>
      <c r="D898" s="3" t="s">
        <v>68</v>
      </c>
      <c r="E898" s="5">
        <v>45761</v>
      </c>
      <c r="F898" s="5">
        <v>45692</v>
      </c>
      <c r="G898" s="3" t="s">
        <v>2420</v>
      </c>
      <c r="H898" s="3" t="s">
        <v>24</v>
      </c>
      <c r="I898" s="2">
        <v>2.71</v>
      </c>
      <c r="J898" s="3" t="s">
        <v>35</v>
      </c>
      <c r="K898">
        <f t="shared" si="26"/>
        <v>2025</v>
      </c>
      <c r="L898" t="str">
        <f t="shared" si="27"/>
        <v>61-70</v>
      </c>
      <c r="M898">
        <f>Table2[[#This Row],[appointment_date]]-Table2[[#This Row],[booking_date]]</f>
        <v>69</v>
      </c>
    </row>
    <row r="899" spans="1:13" x14ac:dyDescent="0.25">
      <c r="A899" s="4">
        <v>1080</v>
      </c>
      <c r="B899" s="3" t="s">
        <v>2422</v>
      </c>
      <c r="C899" s="4">
        <v>21</v>
      </c>
      <c r="D899" s="3" t="s">
        <v>68</v>
      </c>
      <c r="E899" s="5">
        <v>45774</v>
      </c>
      <c r="F899" s="5">
        <v>45729</v>
      </c>
      <c r="G899" s="3" t="s">
        <v>2423</v>
      </c>
      <c r="H899" s="3" t="s">
        <v>24</v>
      </c>
      <c r="I899" s="2">
        <v>184.16</v>
      </c>
      <c r="J899" s="3" t="s">
        <v>35</v>
      </c>
      <c r="K899">
        <f t="shared" ref="K899:K962" si="28">YEAR(E899)</f>
        <v>2025</v>
      </c>
      <c r="L899" t="str">
        <f t="shared" ref="L899:L962" si="29">IF(C899="","",IF(C899&lt;=30,"18-30",IF(C899&lt;=40,"31-40",IF(C899&lt;=50,"41-50",IF(C899&lt;=60,"51-60",IF(C899&lt;=70,"61-70",IF(C899&lt;=80,"71-80","81-90")))))))</f>
        <v>18-30</v>
      </c>
      <c r="M899">
        <f>Table2[[#This Row],[appointment_date]]-Table2[[#This Row],[booking_date]]</f>
        <v>45</v>
      </c>
    </row>
    <row r="900" spans="1:13" x14ac:dyDescent="0.25">
      <c r="A900" s="4">
        <v>1097</v>
      </c>
      <c r="B900" s="3" t="s">
        <v>2425</v>
      </c>
      <c r="C900" s="4">
        <v>51</v>
      </c>
      <c r="D900" s="3" t="s">
        <v>37</v>
      </c>
      <c r="E900" s="5">
        <v>45911</v>
      </c>
      <c r="F900" s="5">
        <v>45456</v>
      </c>
      <c r="G900" s="3" t="s">
        <v>2426</v>
      </c>
      <c r="H900" s="3" t="s">
        <v>28</v>
      </c>
      <c r="I900" s="2">
        <v>4.2</v>
      </c>
      <c r="J900" s="3" t="s">
        <v>30</v>
      </c>
      <c r="K900">
        <f t="shared" si="28"/>
        <v>2025</v>
      </c>
      <c r="L900" t="str">
        <f t="shared" si="29"/>
        <v>51-60</v>
      </c>
      <c r="M900">
        <f>Table2[[#This Row],[appointment_date]]-Table2[[#This Row],[booking_date]]</f>
        <v>455</v>
      </c>
    </row>
    <row r="901" spans="1:13" x14ac:dyDescent="0.25">
      <c r="A901" s="4">
        <v>1054</v>
      </c>
      <c r="B901" s="3" t="s">
        <v>2428</v>
      </c>
      <c r="C901" s="4">
        <v>29</v>
      </c>
      <c r="D901" s="3" t="s">
        <v>68</v>
      </c>
      <c r="E901" s="5">
        <v>45794</v>
      </c>
      <c r="F901" s="5">
        <v>45571</v>
      </c>
      <c r="G901" s="3" t="s">
        <v>2429</v>
      </c>
      <c r="H901" s="3" t="s">
        <v>24</v>
      </c>
      <c r="I901" s="2">
        <v>382.39</v>
      </c>
      <c r="J901" s="3" t="s">
        <v>30</v>
      </c>
      <c r="K901">
        <f t="shared" si="28"/>
        <v>2025</v>
      </c>
      <c r="L901" t="str">
        <f t="shared" si="29"/>
        <v>18-30</v>
      </c>
      <c r="M901">
        <f>Table2[[#This Row],[appointment_date]]-Table2[[#This Row],[booking_date]]</f>
        <v>223</v>
      </c>
    </row>
    <row r="902" spans="1:13" x14ac:dyDescent="0.25">
      <c r="A902" s="4">
        <v>1075</v>
      </c>
      <c r="B902" s="3" t="s">
        <v>2431</v>
      </c>
      <c r="C902" s="4">
        <v>51</v>
      </c>
      <c r="D902" s="3" t="s">
        <v>68</v>
      </c>
      <c r="E902" s="5">
        <v>46002</v>
      </c>
      <c r="F902" s="5">
        <v>45949</v>
      </c>
      <c r="G902" s="3" t="s">
        <v>2432</v>
      </c>
      <c r="H902" s="3" t="s">
        <v>24</v>
      </c>
      <c r="I902" s="2">
        <v>5.0199999999999996</v>
      </c>
      <c r="J902" s="3" t="s">
        <v>30</v>
      </c>
      <c r="K902">
        <f t="shared" si="28"/>
        <v>2025</v>
      </c>
      <c r="L902" t="str">
        <f t="shared" si="29"/>
        <v>51-60</v>
      </c>
      <c r="M902">
        <f>Table2[[#This Row],[appointment_date]]-Table2[[#This Row],[booking_date]]</f>
        <v>53</v>
      </c>
    </row>
    <row r="903" spans="1:13" x14ac:dyDescent="0.25">
      <c r="A903" s="4">
        <v>1036</v>
      </c>
      <c r="B903" s="3" t="s">
        <v>2434</v>
      </c>
      <c r="C903" s="4">
        <v>82</v>
      </c>
      <c r="D903" s="3" t="s">
        <v>68</v>
      </c>
      <c r="E903" s="5">
        <v>45999</v>
      </c>
      <c r="F903" s="5">
        <v>45389</v>
      </c>
      <c r="G903" s="3" t="s">
        <v>2435</v>
      </c>
      <c r="H903" s="3" t="s">
        <v>28</v>
      </c>
      <c r="I903" s="2">
        <v>4.09</v>
      </c>
      <c r="J903" s="3" t="s">
        <v>35</v>
      </c>
      <c r="K903">
        <f t="shared" si="28"/>
        <v>2025</v>
      </c>
      <c r="L903" t="str">
        <f t="shared" si="29"/>
        <v>81-90</v>
      </c>
      <c r="M903">
        <f>Table2[[#This Row],[appointment_date]]-Table2[[#This Row],[booking_date]]</f>
        <v>610</v>
      </c>
    </row>
    <row r="904" spans="1:13" x14ac:dyDescent="0.25">
      <c r="A904" s="4">
        <v>1064</v>
      </c>
      <c r="B904" s="3" t="s">
        <v>2437</v>
      </c>
      <c r="C904" s="4">
        <v>78</v>
      </c>
      <c r="D904" s="3" t="s">
        <v>37</v>
      </c>
      <c r="E904" s="5">
        <v>46036</v>
      </c>
      <c r="F904" s="5">
        <v>45784</v>
      </c>
      <c r="G904" s="3" t="s">
        <v>2438</v>
      </c>
      <c r="H904" s="3" t="s">
        <v>18</v>
      </c>
      <c r="I904" s="2">
        <v>294.82</v>
      </c>
      <c r="J904" s="3" t="s">
        <v>30</v>
      </c>
      <c r="K904">
        <f t="shared" si="28"/>
        <v>2026</v>
      </c>
      <c r="L904" t="str">
        <f t="shared" si="29"/>
        <v>71-80</v>
      </c>
      <c r="M904">
        <f>Table2[[#This Row],[appointment_date]]-Table2[[#This Row],[booking_date]]</f>
        <v>252</v>
      </c>
    </row>
    <row r="905" spans="1:13" x14ac:dyDescent="0.25">
      <c r="A905" s="4">
        <v>1015</v>
      </c>
      <c r="B905" s="3" t="s">
        <v>2440</v>
      </c>
      <c r="C905" s="4">
        <v>63</v>
      </c>
      <c r="D905" s="3" t="s">
        <v>68</v>
      </c>
      <c r="E905" s="5">
        <v>45989</v>
      </c>
      <c r="F905" s="5">
        <v>45559</v>
      </c>
      <c r="G905" s="3" t="s">
        <v>2441</v>
      </c>
      <c r="H905" s="3" t="s">
        <v>24</v>
      </c>
      <c r="I905" s="2">
        <v>427.62</v>
      </c>
      <c r="J905" s="3" t="s">
        <v>35</v>
      </c>
      <c r="K905">
        <f t="shared" si="28"/>
        <v>2025</v>
      </c>
      <c r="L905" t="str">
        <f t="shared" si="29"/>
        <v>61-70</v>
      </c>
      <c r="M905">
        <f>Table2[[#This Row],[appointment_date]]-Table2[[#This Row],[booking_date]]</f>
        <v>430</v>
      </c>
    </row>
    <row r="906" spans="1:13" x14ac:dyDescent="0.25">
      <c r="A906" s="4">
        <v>1045</v>
      </c>
      <c r="B906" s="3" t="s">
        <v>2442</v>
      </c>
      <c r="C906" s="4">
        <v>66</v>
      </c>
      <c r="D906" s="3" t="s">
        <v>68</v>
      </c>
      <c r="E906" s="5">
        <v>45800</v>
      </c>
      <c r="F906" s="5">
        <v>45411</v>
      </c>
      <c r="G906" s="3" t="s">
        <v>2443</v>
      </c>
      <c r="H906" s="3" t="s">
        <v>18</v>
      </c>
      <c r="I906" s="2">
        <v>134.04</v>
      </c>
      <c r="J906" s="3" t="s">
        <v>35</v>
      </c>
      <c r="K906">
        <f t="shared" si="28"/>
        <v>2025</v>
      </c>
      <c r="L906" t="str">
        <f t="shared" si="29"/>
        <v>61-70</v>
      </c>
      <c r="M906">
        <f>Table2[[#This Row],[appointment_date]]-Table2[[#This Row],[booking_date]]</f>
        <v>389</v>
      </c>
    </row>
    <row r="907" spans="1:13" x14ac:dyDescent="0.25">
      <c r="A907" s="4">
        <v>1016</v>
      </c>
      <c r="B907" s="3" t="s">
        <v>2445</v>
      </c>
      <c r="C907" s="4">
        <v>49</v>
      </c>
      <c r="D907" s="3" t="s">
        <v>68</v>
      </c>
      <c r="E907" s="5">
        <v>45916</v>
      </c>
      <c r="F907" s="5">
        <v>45779</v>
      </c>
      <c r="G907" s="3" t="s">
        <v>2446</v>
      </c>
      <c r="H907" s="3" t="s">
        <v>18</v>
      </c>
      <c r="I907" s="2" t="s">
        <v>2693</v>
      </c>
      <c r="J907" s="3" t="s">
        <v>30</v>
      </c>
      <c r="K907">
        <f t="shared" si="28"/>
        <v>2025</v>
      </c>
      <c r="L907" t="str">
        <f t="shared" si="29"/>
        <v>41-50</v>
      </c>
      <c r="M907">
        <f>Table2[[#This Row],[appointment_date]]-Table2[[#This Row],[booking_date]]</f>
        <v>137</v>
      </c>
    </row>
    <row r="908" spans="1:13" x14ac:dyDescent="0.25">
      <c r="A908" s="4">
        <v>1006</v>
      </c>
      <c r="B908" s="3" t="s">
        <v>2447</v>
      </c>
      <c r="C908" s="4">
        <v>61</v>
      </c>
      <c r="D908" s="3" t="s">
        <v>68</v>
      </c>
      <c r="E908" s="5">
        <v>45975</v>
      </c>
      <c r="F908" s="5">
        <v>45422</v>
      </c>
      <c r="G908" s="3" t="s">
        <v>2448</v>
      </c>
      <c r="H908" s="3" t="s">
        <v>18</v>
      </c>
      <c r="I908" s="2">
        <v>410.01</v>
      </c>
      <c r="J908" s="3" t="s">
        <v>30</v>
      </c>
      <c r="K908">
        <f t="shared" si="28"/>
        <v>2025</v>
      </c>
      <c r="L908" t="str">
        <f t="shared" si="29"/>
        <v>61-70</v>
      </c>
      <c r="M908">
        <f>Table2[[#This Row],[appointment_date]]-Table2[[#This Row],[booking_date]]</f>
        <v>553</v>
      </c>
    </row>
    <row r="909" spans="1:13" x14ac:dyDescent="0.25">
      <c r="A909" s="4">
        <v>1058</v>
      </c>
      <c r="B909" s="3" t="s">
        <v>2450</v>
      </c>
      <c r="C909" s="4">
        <v>30</v>
      </c>
      <c r="D909" s="3" t="s">
        <v>37</v>
      </c>
      <c r="E909" s="5">
        <v>46079</v>
      </c>
      <c r="F909" s="5">
        <v>46060</v>
      </c>
      <c r="G909" s="3" t="s">
        <v>2451</v>
      </c>
      <c r="H909" s="3" t="s">
        <v>28</v>
      </c>
      <c r="I909" s="2">
        <v>527.86</v>
      </c>
      <c r="J909" s="3" t="s">
        <v>30</v>
      </c>
      <c r="K909">
        <f t="shared" si="28"/>
        <v>2026</v>
      </c>
      <c r="L909" t="str">
        <f t="shared" si="29"/>
        <v>18-30</v>
      </c>
      <c r="M909">
        <f>Table2[[#This Row],[appointment_date]]-Table2[[#This Row],[booking_date]]</f>
        <v>19</v>
      </c>
    </row>
    <row r="910" spans="1:13" x14ac:dyDescent="0.25">
      <c r="A910" s="4">
        <v>1050</v>
      </c>
      <c r="B910" s="3" t="s">
        <v>2453</v>
      </c>
      <c r="C910" s="4">
        <v>23</v>
      </c>
      <c r="D910" s="3" t="s">
        <v>68</v>
      </c>
      <c r="E910" s="5">
        <v>45957</v>
      </c>
      <c r="F910" s="5">
        <v>45830</v>
      </c>
      <c r="G910" s="3" t="s">
        <v>2454</v>
      </c>
      <c r="H910" s="3" t="s">
        <v>13</v>
      </c>
      <c r="I910" s="2">
        <v>4.82</v>
      </c>
      <c r="J910" s="3" t="s">
        <v>35</v>
      </c>
      <c r="K910">
        <f t="shared" si="28"/>
        <v>2025</v>
      </c>
      <c r="L910" t="str">
        <f t="shared" si="29"/>
        <v>18-30</v>
      </c>
      <c r="M910">
        <f>Table2[[#This Row],[appointment_date]]-Table2[[#This Row],[booking_date]]</f>
        <v>127</v>
      </c>
    </row>
    <row r="911" spans="1:13" x14ac:dyDescent="0.25">
      <c r="A911" s="4">
        <v>1016</v>
      </c>
      <c r="B911" s="3" t="s">
        <v>2456</v>
      </c>
      <c r="C911" s="4">
        <v>87</v>
      </c>
      <c r="D911" s="3" t="s">
        <v>37</v>
      </c>
      <c r="E911" s="5">
        <v>46046</v>
      </c>
      <c r="F911" s="5">
        <v>45635</v>
      </c>
      <c r="G911" s="3" t="s">
        <v>2457</v>
      </c>
      <c r="H911" s="3" t="s">
        <v>28</v>
      </c>
      <c r="I911" s="2">
        <v>5.07</v>
      </c>
      <c r="J911" s="3" t="s">
        <v>35</v>
      </c>
      <c r="K911">
        <f t="shared" si="28"/>
        <v>2026</v>
      </c>
      <c r="L911" t="str">
        <f t="shared" si="29"/>
        <v>81-90</v>
      </c>
      <c r="M911">
        <f>Table2[[#This Row],[appointment_date]]-Table2[[#This Row],[booking_date]]</f>
        <v>411</v>
      </c>
    </row>
    <row r="912" spans="1:13" x14ac:dyDescent="0.25">
      <c r="A912" s="4">
        <v>1014</v>
      </c>
      <c r="B912" s="3" t="s">
        <v>2459</v>
      </c>
      <c r="C912" s="4">
        <v>31</v>
      </c>
      <c r="D912" s="3" t="s">
        <v>37</v>
      </c>
      <c r="E912" s="5">
        <v>45899</v>
      </c>
      <c r="F912" s="5">
        <v>45674</v>
      </c>
      <c r="G912" s="3" t="s">
        <v>2460</v>
      </c>
      <c r="H912" s="3" t="s">
        <v>28</v>
      </c>
      <c r="I912" s="2">
        <v>475.07</v>
      </c>
      <c r="J912" s="3" t="s">
        <v>35</v>
      </c>
      <c r="K912">
        <f t="shared" si="28"/>
        <v>2025</v>
      </c>
      <c r="L912" t="str">
        <f t="shared" si="29"/>
        <v>31-40</v>
      </c>
      <c r="M912">
        <f>Table2[[#This Row],[appointment_date]]-Table2[[#This Row],[booking_date]]</f>
        <v>225</v>
      </c>
    </row>
    <row r="913" spans="1:13" x14ac:dyDescent="0.25">
      <c r="A913" s="4">
        <v>1070</v>
      </c>
      <c r="B913" s="3" t="s">
        <v>2462</v>
      </c>
      <c r="C913" s="4">
        <v>49</v>
      </c>
      <c r="D913" s="3" t="s">
        <v>37</v>
      </c>
      <c r="E913" s="5">
        <v>45797</v>
      </c>
      <c r="F913" s="5">
        <v>45547</v>
      </c>
      <c r="G913" s="3" t="s">
        <v>2463</v>
      </c>
      <c r="H913" s="3" t="s">
        <v>28</v>
      </c>
      <c r="I913" s="2">
        <v>480.14</v>
      </c>
      <c r="J913" s="3" t="s">
        <v>35</v>
      </c>
      <c r="K913">
        <f t="shared" si="28"/>
        <v>2025</v>
      </c>
      <c r="L913" t="str">
        <f t="shared" si="29"/>
        <v>41-50</v>
      </c>
      <c r="M913">
        <f>Table2[[#This Row],[appointment_date]]-Table2[[#This Row],[booking_date]]</f>
        <v>250</v>
      </c>
    </row>
    <row r="914" spans="1:13" x14ac:dyDescent="0.25">
      <c r="A914" s="4">
        <v>1068</v>
      </c>
      <c r="B914" s="3" t="s">
        <v>2465</v>
      </c>
      <c r="C914" s="4">
        <v>52</v>
      </c>
      <c r="D914" s="3" t="s">
        <v>37</v>
      </c>
      <c r="E914" s="5">
        <v>46034</v>
      </c>
      <c r="F914" s="5">
        <v>45543</v>
      </c>
      <c r="G914" s="3" t="s">
        <v>2466</v>
      </c>
      <c r="H914" s="3" t="s">
        <v>24</v>
      </c>
      <c r="I914" s="2">
        <v>178.2</v>
      </c>
      <c r="J914" s="3" t="s">
        <v>30</v>
      </c>
      <c r="K914">
        <f t="shared" si="28"/>
        <v>2026</v>
      </c>
      <c r="L914" t="str">
        <f t="shared" si="29"/>
        <v>51-60</v>
      </c>
      <c r="M914">
        <f>Table2[[#This Row],[appointment_date]]-Table2[[#This Row],[booking_date]]</f>
        <v>491</v>
      </c>
    </row>
    <row r="915" spans="1:13" x14ac:dyDescent="0.25">
      <c r="A915" s="4">
        <v>1088</v>
      </c>
      <c r="B915" s="3" t="s">
        <v>2468</v>
      </c>
      <c r="C915" s="4">
        <v>65</v>
      </c>
      <c r="D915" s="3" t="s">
        <v>68</v>
      </c>
      <c r="E915" s="5">
        <v>45861</v>
      </c>
      <c r="F915" s="5">
        <v>45692</v>
      </c>
      <c r="G915" s="3" t="s">
        <v>2469</v>
      </c>
      <c r="H915" s="3" t="s">
        <v>24</v>
      </c>
      <c r="I915" s="2">
        <v>159.06</v>
      </c>
      <c r="J915" s="3" t="s">
        <v>35</v>
      </c>
      <c r="K915">
        <f t="shared" si="28"/>
        <v>2025</v>
      </c>
      <c r="L915" t="str">
        <f t="shared" si="29"/>
        <v>61-70</v>
      </c>
      <c r="M915">
        <f>Table2[[#This Row],[appointment_date]]-Table2[[#This Row],[booking_date]]</f>
        <v>169</v>
      </c>
    </row>
    <row r="916" spans="1:13" x14ac:dyDescent="0.25">
      <c r="A916" s="4">
        <v>1012</v>
      </c>
      <c r="B916" s="3" t="s">
        <v>2470</v>
      </c>
      <c r="C916" s="4">
        <v>18</v>
      </c>
      <c r="D916" s="3" t="s">
        <v>37</v>
      </c>
      <c r="E916" s="5">
        <v>46041</v>
      </c>
      <c r="F916" s="5">
        <v>45809</v>
      </c>
      <c r="G916" s="3" t="s">
        <v>2471</v>
      </c>
      <c r="H916" s="3" t="s">
        <v>24</v>
      </c>
      <c r="I916" s="2">
        <v>3.49</v>
      </c>
      <c r="J916" s="3" t="s">
        <v>35</v>
      </c>
      <c r="K916">
        <f t="shared" si="28"/>
        <v>2026</v>
      </c>
      <c r="L916" t="str">
        <f t="shared" si="29"/>
        <v>18-30</v>
      </c>
      <c r="M916">
        <f>Table2[[#This Row],[appointment_date]]-Table2[[#This Row],[booking_date]]</f>
        <v>232</v>
      </c>
    </row>
    <row r="917" spans="1:13" x14ac:dyDescent="0.25">
      <c r="A917" s="4">
        <v>1066</v>
      </c>
      <c r="B917" s="3" t="s">
        <v>1836</v>
      </c>
      <c r="C917" s="4">
        <v>37</v>
      </c>
      <c r="D917" s="3" t="s">
        <v>37</v>
      </c>
      <c r="E917" s="5">
        <v>45802</v>
      </c>
      <c r="F917" s="5">
        <v>45577</v>
      </c>
      <c r="G917" s="3" t="s">
        <v>2473</v>
      </c>
      <c r="H917" s="3" t="s">
        <v>28</v>
      </c>
      <c r="I917" s="2">
        <v>527.11</v>
      </c>
      <c r="J917" s="3" t="s">
        <v>35</v>
      </c>
      <c r="K917">
        <f t="shared" si="28"/>
        <v>2025</v>
      </c>
      <c r="L917" t="str">
        <f t="shared" si="29"/>
        <v>31-40</v>
      </c>
      <c r="M917">
        <f>Table2[[#This Row],[appointment_date]]-Table2[[#This Row],[booking_date]]</f>
        <v>225</v>
      </c>
    </row>
    <row r="918" spans="1:13" x14ac:dyDescent="0.25">
      <c r="A918" s="4">
        <v>1071</v>
      </c>
      <c r="B918" s="3" t="s">
        <v>2475</v>
      </c>
      <c r="C918" s="4">
        <v>74</v>
      </c>
      <c r="D918" s="3" t="s">
        <v>68</v>
      </c>
      <c r="E918" s="5">
        <v>45892</v>
      </c>
      <c r="F918" s="5">
        <v>45559</v>
      </c>
      <c r="G918" s="3" t="s">
        <v>2476</v>
      </c>
      <c r="H918" s="3" t="s">
        <v>13</v>
      </c>
      <c r="I918" s="2">
        <v>153.44</v>
      </c>
      <c r="J918" s="3" t="s">
        <v>30</v>
      </c>
      <c r="K918">
        <f t="shared" si="28"/>
        <v>2025</v>
      </c>
      <c r="L918" t="str">
        <f t="shared" si="29"/>
        <v>71-80</v>
      </c>
      <c r="M918">
        <f>Table2[[#This Row],[appointment_date]]-Table2[[#This Row],[booking_date]]</f>
        <v>333</v>
      </c>
    </row>
    <row r="919" spans="1:13" x14ac:dyDescent="0.25">
      <c r="A919" s="4">
        <v>1094</v>
      </c>
      <c r="B919" s="3" t="s">
        <v>2477</v>
      </c>
      <c r="C919" s="4">
        <v>60</v>
      </c>
      <c r="D919" s="3"/>
      <c r="E919" s="5">
        <v>46017</v>
      </c>
      <c r="F919" s="5">
        <v>45434</v>
      </c>
      <c r="G919" s="3" t="s">
        <v>2478</v>
      </c>
      <c r="H919" s="3" t="s">
        <v>28</v>
      </c>
      <c r="I919" s="2">
        <v>466.01</v>
      </c>
      <c r="J919" s="3" t="s">
        <v>30</v>
      </c>
      <c r="K919">
        <f t="shared" si="28"/>
        <v>2025</v>
      </c>
      <c r="L919" t="str">
        <f t="shared" si="29"/>
        <v>51-60</v>
      </c>
      <c r="M919">
        <f>Table2[[#This Row],[appointment_date]]-Table2[[#This Row],[booking_date]]</f>
        <v>583</v>
      </c>
    </row>
    <row r="920" spans="1:13" x14ac:dyDescent="0.25">
      <c r="A920" s="4">
        <v>1075</v>
      </c>
      <c r="B920" s="3" t="s">
        <v>2480</v>
      </c>
      <c r="C920" s="4">
        <v>43</v>
      </c>
      <c r="D920" s="3" t="s">
        <v>68</v>
      </c>
      <c r="E920" s="5">
        <v>46005</v>
      </c>
      <c r="F920" s="5">
        <v>45716</v>
      </c>
      <c r="G920" s="3" t="s">
        <v>2481</v>
      </c>
      <c r="H920" s="3" t="s">
        <v>24</v>
      </c>
      <c r="I920" s="2">
        <v>513.84</v>
      </c>
      <c r="J920" s="3" t="s">
        <v>35</v>
      </c>
      <c r="K920">
        <f t="shared" si="28"/>
        <v>2025</v>
      </c>
      <c r="L920" t="str">
        <f t="shared" si="29"/>
        <v>41-50</v>
      </c>
      <c r="M920">
        <f>Table2[[#This Row],[appointment_date]]-Table2[[#This Row],[booking_date]]</f>
        <v>289</v>
      </c>
    </row>
    <row r="921" spans="1:13" x14ac:dyDescent="0.25">
      <c r="A921" s="4">
        <v>1077</v>
      </c>
      <c r="B921" s="3" t="s">
        <v>2483</v>
      </c>
      <c r="C921" s="4">
        <v>30</v>
      </c>
      <c r="D921" s="3" t="s">
        <v>68</v>
      </c>
      <c r="E921" s="5">
        <v>45806</v>
      </c>
      <c r="F921" s="5">
        <v>45683</v>
      </c>
      <c r="G921" s="3" t="s">
        <v>2484</v>
      </c>
      <c r="H921" s="3" t="s">
        <v>18</v>
      </c>
      <c r="I921" s="2">
        <v>125.8</v>
      </c>
      <c r="J921" s="3" t="s">
        <v>30</v>
      </c>
      <c r="K921">
        <f t="shared" si="28"/>
        <v>2025</v>
      </c>
      <c r="L921" t="str">
        <f t="shared" si="29"/>
        <v>18-30</v>
      </c>
      <c r="M921">
        <f>Table2[[#This Row],[appointment_date]]-Table2[[#This Row],[booking_date]]</f>
        <v>123</v>
      </c>
    </row>
    <row r="922" spans="1:13" x14ac:dyDescent="0.25">
      <c r="A922" s="4">
        <v>1044</v>
      </c>
      <c r="B922" s="3" t="s">
        <v>2485</v>
      </c>
      <c r="C922" s="4">
        <v>43</v>
      </c>
      <c r="D922" s="3" t="s">
        <v>68</v>
      </c>
      <c r="E922" s="5">
        <v>45749</v>
      </c>
      <c r="F922" s="5">
        <v>45481</v>
      </c>
      <c r="G922" s="3" t="s">
        <v>2486</v>
      </c>
      <c r="H922" s="3" t="s">
        <v>28</v>
      </c>
      <c r="I922" s="2">
        <v>3.88</v>
      </c>
      <c r="J922" s="3" t="s">
        <v>30</v>
      </c>
      <c r="K922">
        <f t="shared" si="28"/>
        <v>2025</v>
      </c>
      <c r="L922" t="str">
        <f t="shared" si="29"/>
        <v>41-50</v>
      </c>
      <c r="M922">
        <f>Table2[[#This Row],[appointment_date]]-Table2[[#This Row],[booking_date]]</f>
        <v>268</v>
      </c>
    </row>
    <row r="923" spans="1:13" x14ac:dyDescent="0.25">
      <c r="A923" s="4">
        <v>1084</v>
      </c>
      <c r="B923" s="3" t="s">
        <v>2488</v>
      </c>
      <c r="C923" s="4">
        <v>68</v>
      </c>
      <c r="D923" s="3" t="s">
        <v>68</v>
      </c>
      <c r="E923" s="5">
        <v>45860</v>
      </c>
      <c r="F923" s="5">
        <v>45836</v>
      </c>
      <c r="G923" s="3" t="s">
        <v>2489</v>
      </c>
      <c r="H923" s="3" t="s">
        <v>28</v>
      </c>
      <c r="I923" s="2">
        <v>124.77</v>
      </c>
      <c r="J923" s="3" t="s">
        <v>30</v>
      </c>
      <c r="K923">
        <f t="shared" si="28"/>
        <v>2025</v>
      </c>
      <c r="L923" t="str">
        <f t="shared" si="29"/>
        <v>61-70</v>
      </c>
      <c r="M923">
        <f>Table2[[#This Row],[appointment_date]]-Table2[[#This Row],[booking_date]]</f>
        <v>24</v>
      </c>
    </row>
    <row r="924" spans="1:13" x14ac:dyDescent="0.25">
      <c r="A924" s="4">
        <v>1060</v>
      </c>
      <c r="B924" s="3" t="s">
        <v>2491</v>
      </c>
      <c r="C924" s="4">
        <v>85</v>
      </c>
      <c r="D924" s="3" t="s">
        <v>37</v>
      </c>
      <c r="E924" s="5">
        <v>45919</v>
      </c>
      <c r="F924" s="5">
        <v>45916</v>
      </c>
      <c r="G924" s="3" t="s">
        <v>2492</v>
      </c>
      <c r="H924" s="3" t="s">
        <v>13</v>
      </c>
      <c r="I924" s="2">
        <v>180.92</v>
      </c>
      <c r="J924" s="3" t="s">
        <v>35</v>
      </c>
      <c r="K924">
        <f t="shared" si="28"/>
        <v>2025</v>
      </c>
      <c r="L924" t="str">
        <f t="shared" si="29"/>
        <v>81-90</v>
      </c>
      <c r="M924">
        <f>Table2[[#This Row],[appointment_date]]-Table2[[#This Row],[booking_date]]</f>
        <v>3</v>
      </c>
    </row>
    <row r="925" spans="1:13" x14ac:dyDescent="0.25">
      <c r="A925" s="4">
        <v>1055</v>
      </c>
      <c r="B925" s="3" t="s">
        <v>2494</v>
      </c>
      <c r="C925" s="4">
        <v>69</v>
      </c>
      <c r="D925" s="3" t="s">
        <v>68</v>
      </c>
      <c r="E925" s="5">
        <v>45747</v>
      </c>
      <c r="F925" s="5">
        <v>45601</v>
      </c>
      <c r="G925" s="3" t="s">
        <v>2495</v>
      </c>
      <c r="H925" s="3" t="s">
        <v>18</v>
      </c>
      <c r="I925" s="2">
        <v>5.27</v>
      </c>
      <c r="J925" s="3" t="s">
        <v>35</v>
      </c>
      <c r="K925">
        <f t="shared" si="28"/>
        <v>2025</v>
      </c>
      <c r="L925" t="str">
        <f t="shared" si="29"/>
        <v>61-70</v>
      </c>
      <c r="M925">
        <f>Table2[[#This Row],[appointment_date]]-Table2[[#This Row],[booking_date]]</f>
        <v>146</v>
      </c>
    </row>
    <row r="926" spans="1:13" x14ac:dyDescent="0.25">
      <c r="A926" s="4">
        <v>1046</v>
      </c>
      <c r="B926" s="3" t="s">
        <v>2497</v>
      </c>
      <c r="C926" s="4">
        <v>29</v>
      </c>
      <c r="D926" s="3" t="s">
        <v>68</v>
      </c>
      <c r="E926" s="5">
        <v>45754</v>
      </c>
      <c r="F926" s="5">
        <v>45445</v>
      </c>
      <c r="G926" s="3" t="s">
        <v>2498</v>
      </c>
      <c r="H926" s="3" t="s">
        <v>13</v>
      </c>
      <c r="I926" s="2">
        <v>306.94</v>
      </c>
      <c r="J926" s="3" t="s">
        <v>35</v>
      </c>
      <c r="K926">
        <f t="shared" si="28"/>
        <v>2025</v>
      </c>
      <c r="L926" t="str">
        <f t="shared" si="29"/>
        <v>18-30</v>
      </c>
      <c r="M926">
        <f>Table2[[#This Row],[appointment_date]]-Table2[[#This Row],[booking_date]]</f>
        <v>309</v>
      </c>
    </row>
    <row r="927" spans="1:13" x14ac:dyDescent="0.25">
      <c r="A927" s="4">
        <v>1087</v>
      </c>
      <c r="B927" s="3" t="s">
        <v>2499</v>
      </c>
      <c r="C927" s="4">
        <v>31</v>
      </c>
      <c r="D927" s="3" t="s">
        <v>37</v>
      </c>
      <c r="E927" s="5">
        <v>45808</v>
      </c>
      <c r="F927" s="5">
        <v>45801</v>
      </c>
      <c r="G927" s="3" t="s">
        <v>1857</v>
      </c>
      <c r="H927" s="3" t="s">
        <v>13</v>
      </c>
      <c r="I927" s="2">
        <v>218.34</v>
      </c>
      <c r="J927" s="3" t="s">
        <v>35</v>
      </c>
      <c r="K927">
        <f t="shared" si="28"/>
        <v>2025</v>
      </c>
      <c r="L927" t="str">
        <f t="shared" si="29"/>
        <v>31-40</v>
      </c>
      <c r="M927">
        <f>Table2[[#This Row],[appointment_date]]-Table2[[#This Row],[booking_date]]</f>
        <v>7</v>
      </c>
    </row>
    <row r="928" spans="1:13" x14ac:dyDescent="0.25">
      <c r="A928" s="4">
        <v>1020</v>
      </c>
      <c r="B928" s="3" t="s">
        <v>2501</v>
      </c>
      <c r="C928" s="4">
        <v>56</v>
      </c>
      <c r="D928" s="3" t="s">
        <v>68</v>
      </c>
      <c r="E928" s="5">
        <v>45767</v>
      </c>
      <c r="F928" s="5">
        <v>45633</v>
      </c>
      <c r="G928" s="3" t="s">
        <v>2502</v>
      </c>
      <c r="H928" s="3" t="s">
        <v>24</v>
      </c>
      <c r="I928" s="2">
        <v>101.98</v>
      </c>
      <c r="J928" s="3" t="s">
        <v>35</v>
      </c>
      <c r="K928">
        <f t="shared" si="28"/>
        <v>2025</v>
      </c>
      <c r="L928" t="str">
        <f t="shared" si="29"/>
        <v>51-60</v>
      </c>
      <c r="M928">
        <f>Table2[[#This Row],[appointment_date]]-Table2[[#This Row],[booking_date]]</f>
        <v>134</v>
      </c>
    </row>
    <row r="929" spans="1:13" x14ac:dyDescent="0.25">
      <c r="A929" s="4">
        <v>1047</v>
      </c>
      <c r="B929" s="3" t="s">
        <v>2504</v>
      </c>
      <c r="C929" s="4">
        <v>63</v>
      </c>
      <c r="D929" s="3" t="s">
        <v>37</v>
      </c>
      <c r="E929" s="5">
        <v>45768</v>
      </c>
      <c r="F929" s="5">
        <v>45722</v>
      </c>
      <c r="G929" s="3" t="s">
        <v>2505</v>
      </c>
      <c r="H929" s="3" t="s">
        <v>24</v>
      </c>
      <c r="I929" s="2">
        <v>325.2</v>
      </c>
      <c r="J929" s="3" t="s">
        <v>30</v>
      </c>
      <c r="K929">
        <f t="shared" si="28"/>
        <v>2025</v>
      </c>
      <c r="L929" t="str">
        <f t="shared" si="29"/>
        <v>61-70</v>
      </c>
      <c r="M929">
        <f>Table2[[#This Row],[appointment_date]]-Table2[[#This Row],[booking_date]]</f>
        <v>46</v>
      </c>
    </row>
    <row r="930" spans="1:13" x14ac:dyDescent="0.25">
      <c r="A930" s="4">
        <v>1053</v>
      </c>
      <c r="B930" s="3" t="s">
        <v>2507</v>
      </c>
      <c r="C930" s="4">
        <v>86</v>
      </c>
      <c r="D930" s="3" t="s">
        <v>37</v>
      </c>
      <c r="E930" s="5">
        <v>45943</v>
      </c>
      <c r="F930" s="5">
        <v>45516</v>
      </c>
      <c r="G930" s="3" t="s">
        <v>2508</v>
      </c>
      <c r="H930" s="3" t="s">
        <v>28</v>
      </c>
      <c r="I930" s="2">
        <v>85.53</v>
      </c>
      <c r="J930" s="3" t="s">
        <v>35</v>
      </c>
      <c r="K930">
        <f t="shared" si="28"/>
        <v>2025</v>
      </c>
      <c r="L930" t="str">
        <f t="shared" si="29"/>
        <v>81-90</v>
      </c>
      <c r="M930">
        <f>Table2[[#This Row],[appointment_date]]-Table2[[#This Row],[booking_date]]</f>
        <v>427</v>
      </c>
    </row>
    <row r="931" spans="1:13" x14ac:dyDescent="0.25">
      <c r="A931" s="4">
        <v>1031</v>
      </c>
      <c r="B931" s="3" t="s">
        <v>2509</v>
      </c>
      <c r="C931" s="4">
        <v>31</v>
      </c>
      <c r="D931" s="3" t="s">
        <v>37</v>
      </c>
      <c r="E931" s="5">
        <v>46098</v>
      </c>
      <c r="F931" s="5">
        <v>45871</v>
      </c>
      <c r="G931" s="3" t="s">
        <v>1642</v>
      </c>
      <c r="H931" s="3" t="s">
        <v>13</v>
      </c>
      <c r="I931" s="2">
        <v>470.11</v>
      </c>
      <c r="J931" s="3" t="s">
        <v>35</v>
      </c>
      <c r="K931">
        <f t="shared" si="28"/>
        <v>2026</v>
      </c>
      <c r="L931" t="str">
        <f t="shared" si="29"/>
        <v>31-40</v>
      </c>
      <c r="M931">
        <f>Table2[[#This Row],[appointment_date]]-Table2[[#This Row],[booking_date]]</f>
        <v>227</v>
      </c>
    </row>
    <row r="932" spans="1:13" x14ac:dyDescent="0.25">
      <c r="A932" s="4">
        <v>1041</v>
      </c>
      <c r="B932" s="3" t="s">
        <v>2511</v>
      </c>
      <c r="C932" s="4">
        <v>81</v>
      </c>
      <c r="D932" s="3" t="s">
        <v>68</v>
      </c>
      <c r="E932" s="5">
        <v>45926</v>
      </c>
      <c r="F932" s="5">
        <v>45689</v>
      </c>
      <c r="G932" s="3" t="s">
        <v>2512</v>
      </c>
      <c r="H932" s="3" t="s">
        <v>18</v>
      </c>
      <c r="I932" s="2" t="s">
        <v>2693</v>
      </c>
      <c r="J932" s="3" t="s">
        <v>30</v>
      </c>
      <c r="K932">
        <f t="shared" si="28"/>
        <v>2025</v>
      </c>
      <c r="L932" t="str">
        <f t="shared" si="29"/>
        <v>81-90</v>
      </c>
      <c r="M932">
        <f>Table2[[#This Row],[appointment_date]]-Table2[[#This Row],[booking_date]]</f>
        <v>237</v>
      </c>
    </row>
    <row r="933" spans="1:13" x14ac:dyDescent="0.25">
      <c r="A933" s="4">
        <v>1047</v>
      </c>
      <c r="B933" s="3" t="s">
        <v>2513</v>
      </c>
      <c r="C933" s="4">
        <v>76</v>
      </c>
      <c r="D933" s="3" t="s">
        <v>68</v>
      </c>
      <c r="E933" s="5">
        <v>45887</v>
      </c>
      <c r="F933" s="5">
        <v>45822</v>
      </c>
      <c r="G933" s="3" t="s">
        <v>2514</v>
      </c>
      <c r="H933" s="3" t="s">
        <v>18</v>
      </c>
      <c r="I933" s="2">
        <v>83.67</v>
      </c>
      <c r="J933" s="3" t="s">
        <v>30</v>
      </c>
      <c r="K933">
        <f t="shared" si="28"/>
        <v>2025</v>
      </c>
      <c r="L933" t="str">
        <f t="shared" si="29"/>
        <v>71-80</v>
      </c>
      <c r="M933">
        <f>Table2[[#This Row],[appointment_date]]-Table2[[#This Row],[booking_date]]</f>
        <v>65</v>
      </c>
    </row>
    <row r="934" spans="1:13" x14ac:dyDescent="0.25">
      <c r="A934" s="4">
        <v>1012</v>
      </c>
      <c r="B934" s="3" t="s">
        <v>2515</v>
      </c>
      <c r="C934" s="4">
        <v>76</v>
      </c>
      <c r="D934" s="3" t="s">
        <v>68</v>
      </c>
      <c r="E934" s="5">
        <v>46060</v>
      </c>
      <c r="F934" s="5">
        <v>46037</v>
      </c>
      <c r="G934" s="3" t="s">
        <v>2516</v>
      </c>
      <c r="H934" s="3" t="s">
        <v>18</v>
      </c>
      <c r="I934" s="2">
        <v>2.81</v>
      </c>
      <c r="J934" s="3" t="s">
        <v>30</v>
      </c>
      <c r="K934">
        <f t="shared" si="28"/>
        <v>2026</v>
      </c>
      <c r="L934" t="str">
        <f t="shared" si="29"/>
        <v>71-80</v>
      </c>
      <c r="M934">
        <f>Table2[[#This Row],[appointment_date]]-Table2[[#This Row],[booking_date]]</f>
        <v>23</v>
      </c>
    </row>
    <row r="935" spans="1:13" x14ac:dyDescent="0.25">
      <c r="A935" s="4">
        <v>1034</v>
      </c>
      <c r="B935" s="3" t="s">
        <v>2518</v>
      </c>
      <c r="C935" s="4">
        <v>90</v>
      </c>
      <c r="D935" s="3" t="s">
        <v>68</v>
      </c>
      <c r="E935" s="5">
        <v>46088</v>
      </c>
      <c r="F935" s="5">
        <v>45468</v>
      </c>
      <c r="G935" s="3" t="s">
        <v>2519</v>
      </c>
      <c r="H935" s="3" t="s">
        <v>28</v>
      </c>
      <c r="I935" s="2" t="s">
        <v>2693</v>
      </c>
      <c r="J935" s="3" t="s">
        <v>30</v>
      </c>
      <c r="K935">
        <f t="shared" si="28"/>
        <v>2026</v>
      </c>
      <c r="L935" t="str">
        <f t="shared" si="29"/>
        <v>81-90</v>
      </c>
      <c r="M935">
        <f>Table2[[#This Row],[appointment_date]]-Table2[[#This Row],[booking_date]]</f>
        <v>620</v>
      </c>
    </row>
    <row r="936" spans="1:13" x14ac:dyDescent="0.25">
      <c r="A936" s="4">
        <v>1091</v>
      </c>
      <c r="B936" s="3" t="s">
        <v>2520</v>
      </c>
      <c r="C936" s="4">
        <v>62</v>
      </c>
      <c r="D936" s="3" t="s">
        <v>68</v>
      </c>
      <c r="E936" s="5">
        <v>46103</v>
      </c>
      <c r="F936" s="5">
        <v>45989</v>
      </c>
      <c r="G936" s="3" t="s">
        <v>2521</v>
      </c>
      <c r="H936" s="3" t="s">
        <v>24</v>
      </c>
      <c r="I936" s="2">
        <v>433.63</v>
      </c>
      <c r="J936" s="3" t="s">
        <v>35</v>
      </c>
      <c r="K936">
        <f t="shared" si="28"/>
        <v>2026</v>
      </c>
      <c r="L936" t="str">
        <f t="shared" si="29"/>
        <v>61-70</v>
      </c>
      <c r="M936">
        <f>Table2[[#This Row],[appointment_date]]-Table2[[#This Row],[booking_date]]</f>
        <v>114</v>
      </c>
    </row>
    <row r="937" spans="1:13" x14ac:dyDescent="0.25">
      <c r="A937" s="4">
        <v>1034</v>
      </c>
      <c r="B937" s="3" t="s">
        <v>2522</v>
      </c>
      <c r="C937" s="4">
        <v>71</v>
      </c>
      <c r="D937" s="3" t="s">
        <v>68</v>
      </c>
      <c r="E937" s="5">
        <v>46017</v>
      </c>
      <c r="F937" s="5">
        <v>45409</v>
      </c>
      <c r="G937" s="3" t="s">
        <v>2523</v>
      </c>
      <c r="H937" s="3" t="s">
        <v>24</v>
      </c>
      <c r="I937" s="2">
        <v>5.07</v>
      </c>
      <c r="J937" s="3" t="s">
        <v>30</v>
      </c>
      <c r="K937">
        <f t="shared" si="28"/>
        <v>2025</v>
      </c>
      <c r="L937" t="str">
        <f t="shared" si="29"/>
        <v>71-80</v>
      </c>
      <c r="M937">
        <f>Table2[[#This Row],[appointment_date]]-Table2[[#This Row],[booking_date]]</f>
        <v>608</v>
      </c>
    </row>
    <row r="938" spans="1:13" x14ac:dyDescent="0.25">
      <c r="A938" s="4">
        <v>1072</v>
      </c>
      <c r="B938" s="3" t="s">
        <v>2525</v>
      </c>
      <c r="C938" s="4">
        <v>59</v>
      </c>
      <c r="D938" s="3" t="s">
        <v>37</v>
      </c>
      <c r="E938" s="5">
        <v>45772</v>
      </c>
      <c r="F938" s="5">
        <v>45412</v>
      </c>
      <c r="G938" s="3" t="s">
        <v>2526</v>
      </c>
      <c r="H938" s="3" t="s">
        <v>13</v>
      </c>
      <c r="I938" s="2">
        <v>347.14</v>
      </c>
      <c r="J938" s="3" t="s">
        <v>35</v>
      </c>
      <c r="K938">
        <f t="shared" si="28"/>
        <v>2025</v>
      </c>
      <c r="L938" t="str">
        <f t="shared" si="29"/>
        <v>51-60</v>
      </c>
      <c r="M938">
        <f>Table2[[#This Row],[appointment_date]]-Table2[[#This Row],[booking_date]]</f>
        <v>360</v>
      </c>
    </row>
    <row r="939" spans="1:13" x14ac:dyDescent="0.25">
      <c r="A939" s="4">
        <v>1048</v>
      </c>
      <c r="B939" s="3" t="s">
        <v>2528</v>
      </c>
      <c r="C939" s="4">
        <v>84</v>
      </c>
      <c r="D939" s="3" t="s">
        <v>37</v>
      </c>
      <c r="E939" s="5">
        <v>45806</v>
      </c>
      <c r="F939" s="5">
        <v>45686</v>
      </c>
      <c r="G939" s="3" t="s">
        <v>2529</v>
      </c>
      <c r="H939" s="3" t="s">
        <v>24</v>
      </c>
      <c r="I939" s="2" t="s">
        <v>2693</v>
      </c>
      <c r="J939" s="3" t="s">
        <v>30</v>
      </c>
      <c r="K939">
        <f t="shared" si="28"/>
        <v>2025</v>
      </c>
      <c r="L939" t="str">
        <f t="shared" si="29"/>
        <v>81-90</v>
      </c>
      <c r="M939">
        <f>Table2[[#This Row],[appointment_date]]-Table2[[#This Row],[booking_date]]</f>
        <v>120</v>
      </c>
    </row>
    <row r="940" spans="1:13" x14ac:dyDescent="0.25">
      <c r="A940" s="4">
        <v>1068</v>
      </c>
      <c r="B940" s="3" t="s">
        <v>2530</v>
      </c>
      <c r="C940" s="4">
        <v>40</v>
      </c>
      <c r="D940" s="3" t="s">
        <v>68</v>
      </c>
      <c r="E940" s="5">
        <v>46067</v>
      </c>
      <c r="F940" s="5">
        <v>45909</v>
      </c>
      <c r="G940" s="3" t="s">
        <v>2531</v>
      </c>
      <c r="H940" s="3" t="s">
        <v>24</v>
      </c>
      <c r="I940" s="2" t="s">
        <v>2693</v>
      </c>
      <c r="J940" s="3" t="s">
        <v>35</v>
      </c>
      <c r="K940">
        <f t="shared" si="28"/>
        <v>2026</v>
      </c>
      <c r="L940" t="str">
        <f t="shared" si="29"/>
        <v>31-40</v>
      </c>
      <c r="M940">
        <f>Table2[[#This Row],[appointment_date]]-Table2[[#This Row],[booking_date]]</f>
        <v>158</v>
      </c>
    </row>
    <row r="941" spans="1:13" x14ac:dyDescent="0.25">
      <c r="A941" s="4">
        <v>1063</v>
      </c>
      <c r="B941" s="3" t="s">
        <v>2532</v>
      </c>
      <c r="C941" s="4">
        <v>75</v>
      </c>
      <c r="D941" s="3" t="s">
        <v>37</v>
      </c>
      <c r="E941" s="5">
        <v>45811</v>
      </c>
      <c r="F941" s="5">
        <v>45605</v>
      </c>
      <c r="G941" s="3" t="s">
        <v>2533</v>
      </c>
      <c r="H941" s="3" t="s">
        <v>13</v>
      </c>
      <c r="I941" s="2">
        <v>1.06</v>
      </c>
      <c r="J941" s="3" t="s">
        <v>35</v>
      </c>
      <c r="K941">
        <f t="shared" si="28"/>
        <v>2025</v>
      </c>
      <c r="L941" t="str">
        <f t="shared" si="29"/>
        <v>71-80</v>
      </c>
      <c r="M941">
        <f>Table2[[#This Row],[appointment_date]]-Table2[[#This Row],[booking_date]]</f>
        <v>206</v>
      </c>
    </row>
    <row r="942" spans="1:13" x14ac:dyDescent="0.25">
      <c r="A942" s="4">
        <v>1063</v>
      </c>
      <c r="B942" s="3" t="s">
        <v>2535</v>
      </c>
      <c r="C942" s="4">
        <v>58</v>
      </c>
      <c r="D942" s="3" t="s">
        <v>37</v>
      </c>
      <c r="E942" s="5">
        <v>46078</v>
      </c>
      <c r="F942" s="5">
        <v>45594</v>
      </c>
      <c r="G942" s="3" t="s">
        <v>2536</v>
      </c>
      <c r="H942" s="3" t="s">
        <v>24</v>
      </c>
      <c r="I942" s="2">
        <v>330.85</v>
      </c>
      <c r="J942" s="3" t="s">
        <v>30</v>
      </c>
      <c r="K942">
        <f t="shared" si="28"/>
        <v>2026</v>
      </c>
      <c r="L942" t="str">
        <f t="shared" si="29"/>
        <v>51-60</v>
      </c>
      <c r="M942">
        <f>Table2[[#This Row],[appointment_date]]-Table2[[#This Row],[booking_date]]</f>
        <v>484</v>
      </c>
    </row>
    <row r="943" spans="1:13" x14ac:dyDescent="0.25">
      <c r="A943" s="4">
        <v>1045</v>
      </c>
      <c r="B943" s="3" t="s">
        <v>2538</v>
      </c>
      <c r="C943" s="4">
        <v>24</v>
      </c>
      <c r="D943" s="3" t="s">
        <v>37</v>
      </c>
      <c r="E943" s="5">
        <v>45993</v>
      </c>
      <c r="F943" s="5">
        <v>45760</v>
      </c>
      <c r="G943" s="3" t="s">
        <v>2539</v>
      </c>
      <c r="H943" s="3" t="s">
        <v>28</v>
      </c>
      <c r="I943" s="2">
        <v>2.71</v>
      </c>
      <c r="J943" s="3" t="s">
        <v>30</v>
      </c>
      <c r="K943">
        <f t="shared" si="28"/>
        <v>2025</v>
      </c>
      <c r="L943" t="str">
        <f t="shared" si="29"/>
        <v>18-30</v>
      </c>
      <c r="M943">
        <f>Table2[[#This Row],[appointment_date]]-Table2[[#This Row],[booking_date]]</f>
        <v>233</v>
      </c>
    </row>
    <row r="944" spans="1:13" x14ac:dyDescent="0.25">
      <c r="A944" s="4">
        <v>1028</v>
      </c>
      <c r="B944" s="3" t="s">
        <v>2541</v>
      </c>
      <c r="C944" s="4">
        <v>88</v>
      </c>
      <c r="D944" s="3" t="s">
        <v>68</v>
      </c>
      <c r="E944" s="5">
        <v>45959</v>
      </c>
      <c r="F944" s="5">
        <v>45738</v>
      </c>
      <c r="G944" s="3" t="s">
        <v>31</v>
      </c>
      <c r="H944" s="3" t="s">
        <v>13</v>
      </c>
      <c r="I944" s="2">
        <v>2.82</v>
      </c>
      <c r="J944" s="3" t="s">
        <v>35</v>
      </c>
      <c r="K944">
        <f t="shared" si="28"/>
        <v>2025</v>
      </c>
      <c r="L944" t="str">
        <f t="shared" si="29"/>
        <v>81-90</v>
      </c>
      <c r="M944">
        <f>Table2[[#This Row],[appointment_date]]-Table2[[#This Row],[booking_date]]</f>
        <v>221</v>
      </c>
    </row>
    <row r="945" spans="1:13" x14ac:dyDescent="0.25">
      <c r="A945" s="4">
        <v>1025</v>
      </c>
      <c r="B945" s="3" t="s">
        <v>2543</v>
      </c>
      <c r="C945" s="4">
        <v>84</v>
      </c>
      <c r="D945" s="3" t="s">
        <v>37</v>
      </c>
      <c r="E945" s="5">
        <v>45926</v>
      </c>
      <c r="F945" s="5">
        <v>45824</v>
      </c>
      <c r="G945" s="3" t="s">
        <v>2544</v>
      </c>
      <c r="H945" s="3" t="s">
        <v>24</v>
      </c>
      <c r="I945" s="2">
        <v>326.83999999999997</v>
      </c>
      <c r="J945" s="3" t="s">
        <v>35</v>
      </c>
      <c r="K945">
        <f t="shared" si="28"/>
        <v>2025</v>
      </c>
      <c r="L945" t="str">
        <f t="shared" si="29"/>
        <v>81-90</v>
      </c>
      <c r="M945">
        <f>Table2[[#This Row],[appointment_date]]-Table2[[#This Row],[booking_date]]</f>
        <v>102</v>
      </c>
    </row>
    <row r="946" spans="1:13" x14ac:dyDescent="0.25">
      <c r="A946" s="4">
        <v>1046</v>
      </c>
      <c r="B946" s="3" t="s">
        <v>2545</v>
      </c>
      <c r="C946" s="4">
        <v>64</v>
      </c>
      <c r="D946" s="3" t="s">
        <v>68</v>
      </c>
      <c r="E946" s="5">
        <v>45808</v>
      </c>
      <c r="F946" s="5">
        <v>45525</v>
      </c>
      <c r="G946" s="3" t="s">
        <v>2546</v>
      </c>
      <c r="H946" s="3" t="s">
        <v>18</v>
      </c>
      <c r="I946" s="2">
        <v>634.37</v>
      </c>
      <c r="J946" s="3" t="s">
        <v>30</v>
      </c>
      <c r="K946">
        <f t="shared" si="28"/>
        <v>2025</v>
      </c>
      <c r="L946" t="str">
        <f t="shared" si="29"/>
        <v>61-70</v>
      </c>
      <c r="M946">
        <f>Table2[[#This Row],[appointment_date]]-Table2[[#This Row],[booking_date]]</f>
        <v>283</v>
      </c>
    </row>
    <row r="947" spans="1:13" x14ac:dyDescent="0.25">
      <c r="A947" s="4">
        <v>1036</v>
      </c>
      <c r="B947" s="3" t="s">
        <v>2548</v>
      </c>
      <c r="C947" s="4">
        <v>76</v>
      </c>
      <c r="D947" s="3" t="s">
        <v>37</v>
      </c>
      <c r="E947" s="5">
        <v>46032</v>
      </c>
      <c r="F947" s="5">
        <v>45869</v>
      </c>
      <c r="G947" s="3" t="s">
        <v>2549</v>
      </c>
      <c r="H947" s="3" t="s">
        <v>28</v>
      </c>
      <c r="I947" s="2">
        <v>136.77000000000001</v>
      </c>
      <c r="J947" s="3" t="s">
        <v>35</v>
      </c>
      <c r="K947">
        <f t="shared" si="28"/>
        <v>2026</v>
      </c>
      <c r="L947" t="str">
        <f t="shared" si="29"/>
        <v>71-80</v>
      </c>
      <c r="M947">
        <f>Table2[[#This Row],[appointment_date]]-Table2[[#This Row],[booking_date]]</f>
        <v>163</v>
      </c>
    </row>
    <row r="948" spans="1:13" x14ac:dyDescent="0.25">
      <c r="A948" s="4">
        <v>1026</v>
      </c>
      <c r="B948" s="3" t="s">
        <v>2550</v>
      </c>
      <c r="C948" s="4">
        <v>49</v>
      </c>
      <c r="D948" s="3" t="s">
        <v>68</v>
      </c>
      <c r="E948" s="5">
        <v>46067</v>
      </c>
      <c r="F948" s="5">
        <v>45727</v>
      </c>
      <c r="G948" s="3" t="s">
        <v>2551</v>
      </c>
      <c r="H948" s="3" t="s">
        <v>24</v>
      </c>
      <c r="I948" s="2">
        <v>522.58000000000004</v>
      </c>
      <c r="J948" s="3" t="s">
        <v>30</v>
      </c>
      <c r="K948">
        <f t="shared" si="28"/>
        <v>2026</v>
      </c>
      <c r="L948" t="str">
        <f t="shared" si="29"/>
        <v>41-50</v>
      </c>
      <c r="M948">
        <f>Table2[[#This Row],[appointment_date]]-Table2[[#This Row],[booking_date]]</f>
        <v>340</v>
      </c>
    </row>
    <row r="949" spans="1:13" x14ac:dyDescent="0.25">
      <c r="A949" s="4">
        <v>1097</v>
      </c>
      <c r="B949" s="3" t="s">
        <v>2553</v>
      </c>
      <c r="C949" s="4">
        <v>27</v>
      </c>
      <c r="D949" s="3" t="s">
        <v>68</v>
      </c>
      <c r="E949" s="5">
        <v>45963</v>
      </c>
      <c r="F949" s="5">
        <v>45407</v>
      </c>
      <c r="G949" s="3" t="s">
        <v>2554</v>
      </c>
      <c r="H949" s="3" t="s">
        <v>28</v>
      </c>
      <c r="I949" s="2">
        <v>383.38</v>
      </c>
      <c r="J949" s="3" t="s">
        <v>35</v>
      </c>
      <c r="K949">
        <f t="shared" si="28"/>
        <v>2025</v>
      </c>
      <c r="L949" t="str">
        <f t="shared" si="29"/>
        <v>18-30</v>
      </c>
      <c r="M949">
        <f>Table2[[#This Row],[appointment_date]]-Table2[[#This Row],[booking_date]]</f>
        <v>556</v>
      </c>
    </row>
    <row r="950" spans="1:13" x14ac:dyDescent="0.25">
      <c r="A950" s="4">
        <v>1014</v>
      </c>
      <c r="B950" s="3" t="s">
        <v>2556</v>
      </c>
      <c r="C950" s="4">
        <v>29</v>
      </c>
      <c r="D950" s="3" t="s">
        <v>68</v>
      </c>
      <c r="E950" s="5">
        <v>46021</v>
      </c>
      <c r="F950" s="5">
        <v>45877</v>
      </c>
      <c r="G950" s="3" t="s">
        <v>2557</v>
      </c>
      <c r="H950" s="3" t="s">
        <v>24</v>
      </c>
      <c r="I950" s="2">
        <v>497.5</v>
      </c>
      <c r="J950" s="3" t="s">
        <v>30</v>
      </c>
      <c r="K950">
        <f t="shared" si="28"/>
        <v>2025</v>
      </c>
      <c r="L950" t="str">
        <f t="shared" si="29"/>
        <v>18-30</v>
      </c>
      <c r="M950">
        <f>Table2[[#This Row],[appointment_date]]-Table2[[#This Row],[booking_date]]</f>
        <v>144</v>
      </c>
    </row>
    <row r="951" spans="1:13" x14ac:dyDescent="0.25">
      <c r="A951" s="4">
        <v>1085</v>
      </c>
      <c r="B951" s="3" t="s">
        <v>2559</v>
      </c>
      <c r="C951" s="4">
        <v>63</v>
      </c>
      <c r="D951" s="3" t="s">
        <v>68</v>
      </c>
      <c r="E951" s="5">
        <v>45881</v>
      </c>
      <c r="F951" s="5">
        <v>45599</v>
      </c>
      <c r="G951" s="3" t="s">
        <v>2560</v>
      </c>
      <c r="H951" s="3" t="s">
        <v>18</v>
      </c>
      <c r="I951" s="2">
        <v>4.63</v>
      </c>
      <c r="J951" s="3" t="s">
        <v>35</v>
      </c>
      <c r="K951">
        <f t="shared" si="28"/>
        <v>2025</v>
      </c>
      <c r="L951" t="str">
        <f t="shared" si="29"/>
        <v>61-70</v>
      </c>
      <c r="M951">
        <f>Table2[[#This Row],[appointment_date]]-Table2[[#This Row],[booking_date]]</f>
        <v>282</v>
      </c>
    </row>
    <row r="952" spans="1:13" x14ac:dyDescent="0.25">
      <c r="A952" s="4">
        <v>1005</v>
      </c>
      <c r="B952" s="3" t="s">
        <v>2562</v>
      </c>
      <c r="C952" s="4">
        <v>54</v>
      </c>
      <c r="D952" s="3" t="s">
        <v>68</v>
      </c>
      <c r="E952" s="5">
        <v>45784</v>
      </c>
      <c r="F952" s="5">
        <v>45465</v>
      </c>
      <c r="G952" s="3" t="s">
        <v>2563</v>
      </c>
      <c r="H952" s="3" t="s">
        <v>28</v>
      </c>
      <c r="I952" s="2">
        <v>432.66</v>
      </c>
      <c r="J952" s="3" t="s">
        <v>30</v>
      </c>
      <c r="K952">
        <f t="shared" si="28"/>
        <v>2025</v>
      </c>
      <c r="L952" t="str">
        <f t="shared" si="29"/>
        <v>51-60</v>
      </c>
      <c r="M952">
        <f>Table2[[#This Row],[appointment_date]]-Table2[[#This Row],[booking_date]]</f>
        <v>319</v>
      </c>
    </row>
    <row r="953" spans="1:13" x14ac:dyDescent="0.25">
      <c r="A953" s="4">
        <v>1075</v>
      </c>
      <c r="B953" s="3" t="s">
        <v>2565</v>
      </c>
      <c r="C953" s="4">
        <v>59</v>
      </c>
      <c r="D953" s="3" t="s">
        <v>68</v>
      </c>
      <c r="E953" s="5">
        <v>46101</v>
      </c>
      <c r="F953" s="5">
        <v>46015</v>
      </c>
      <c r="G953" s="3" t="s">
        <v>2566</v>
      </c>
      <c r="H953" s="3" t="s">
        <v>13</v>
      </c>
      <c r="I953" s="2">
        <v>1.18</v>
      </c>
      <c r="J953" s="3" t="s">
        <v>35</v>
      </c>
      <c r="K953">
        <f t="shared" si="28"/>
        <v>2026</v>
      </c>
      <c r="L953" t="str">
        <f t="shared" si="29"/>
        <v>51-60</v>
      </c>
      <c r="M953">
        <f>Table2[[#This Row],[appointment_date]]-Table2[[#This Row],[booking_date]]</f>
        <v>86</v>
      </c>
    </row>
    <row r="954" spans="1:13" x14ac:dyDescent="0.25">
      <c r="A954" s="4">
        <v>1082</v>
      </c>
      <c r="B954" s="3" t="s">
        <v>2568</v>
      </c>
      <c r="C954" s="4">
        <v>37</v>
      </c>
      <c r="D954" s="3" t="s">
        <v>68</v>
      </c>
      <c r="E954" s="5">
        <v>45766</v>
      </c>
      <c r="F954" s="5">
        <v>45411</v>
      </c>
      <c r="G954" s="3" t="s">
        <v>2569</v>
      </c>
      <c r="H954" s="3" t="s">
        <v>18</v>
      </c>
      <c r="I954" s="2">
        <v>506.93</v>
      </c>
      <c r="J954" s="3" t="s">
        <v>30</v>
      </c>
      <c r="K954">
        <f t="shared" si="28"/>
        <v>2025</v>
      </c>
      <c r="L954" t="str">
        <f t="shared" si="29"/>
        <v>31-40</v>
      </c>
      <c r="M954">
        <f>Table2[[#This Row],[appointment_date]]-Table2[[#This Row],[booking_date]]</f>
        <v>355</v>
      </c>
    </row>
    <row r="955" spans="1:13" x14ac:dyDescent="0.25">
      <c r="A955" s="4">
        <v>1089</v>
      </c>
      <c r="B955" s="3" t="s">
        <v>2571</v>
      </c>
      <c r="C955" s="4">
        <v>69</v>
      </c>
      <c r="D955" s="3" t="s">
        <v>68</v>
      </c>
      <c r="E955" s="5">
        <v>45934</v>
      </c>
      <c r="F955" s="5">
        <v>45869</v>
      </c>
      <c r="G955" s="3" t="s">
        <v>2572</v>
      </c>
      <c r="H955" s="3" t="s">
        <v>28</v>
      </c>
      <c r="I955" s="2">
        <v>535.34</v>
      </c>
      <c r="J955" s="3" t="s">
        <v>35</v>
      </c>
      <c r="K955">
        <f t="shared" si="28"/>
        <v>2025</v>
      </c>
      <c r="L955" t="str">
        <f t="shared" si="29"/>
        <v>61-70</v>
      </c>
      <c r="M955">
        <f>Table2[[#This Row],[appointment_date]]-Table2[[#This Row],[booking_date]]</f>
        <v>65</v>
      </c>
    </row>
    <row r="956" spans="1:13" x14ac:dyDescent="0.25">
      <c r="A956" s="4">
        <v>1092</v>
      </c>
      <c r="B956" s="3" t="s">
        <v>2574</v>
      </c>
      <c r="C956" s="4">
        <v>53</v>
      </c>
      <c r="D956" s="3" t="s">
        <v>37</v>
      </c>
      <c r="E956" s="5">
        <v>45955</v>
      </c>
      <c r="F956" s="5">
        <v>45435</v>
      </c>
      <c r="G956" s="3" t="s">
        <v>2575</v>
      </c>
      <c r="H956" s="3" t="s">
        <v>18</v>
      </c>
      <c r="I956" s="2">
        <v>468.46</v>
      </c>
      <c r="J956" s="3" t="s">
        <v>35</v>
      </c>
      <c r="K956">
        <f t="shared" si="28"/>
        <v>2025</v>
      </c>
      <c r="L956" t="str">
        <f t="shared" si="29"/>
        <v>51-60</v>
      </c>
      <c r="M956">
        <f>Table2[[#This Row],[appointment_date]]-Table2[[#This Row],[booking_date]]</f>
        <v>520</v>
      </c>
    </row>
    <row r="957" spans="1:13" x14ac:dyDescent="0.25">
      <c r="A957" s="4">
        <v>1066</v>
      </c>
      <c r="B957" s="3" t="s">
        <v>2577</v>
      </c>
      <c r="C957" s="4">
        <v>46</v>
      </c>
      <c r="D957" s="3" t="s">
        <v>68</v>
      </c>
      <c r="E957" s="5">
        <v>46107</v>
      </c>
      <c r="F957" s="5">
        <v>45829</v>
      </c>
      <c r="G957" s="3" t="s">
        <v>2578</v>
      </c>
      <c r="H957" s="3" t="s">
        <v>13</v>
      </c>
      <c r="I957" s="2">
        <v>336.58</v>
      </c>
      <c r="J957" s="3" t="s">
        <v>30</v>
      </c>
      <c r="K957">
        <f t="shared" si="28"/>
        <v>2026</v>
      </c>
      <c r="L957" t="str">
        <f t="shared" si="29"/>
        <v>41-50</v>
      </c>
      <c r="M957">
        <f>Table2[[#This Row],[appointment_date]]-Table2[[#This Row],[booking_date]]</f>
        <v>278</v>
      </c>
    </row>
    <row r="958" spans="1:13" x14ac:dyDescent="0.25">
      <c r="A958" s="4">
        <v>1016</v>
      </c>
      <c r="B958" s="3" t="s">
        <v>2580</v>
      </c>
      <c r="C958" s="4">
        <v>22</v>
      </c>
      <c r="D958" s="3" t="s">
        <v>68</v>
      </c>
      <c r="E958" s="5">
        <v>45777</v>
      </c>
      <c r="F958" s="5">
        <v>45483</v>
      </c>
      <c r="G958" s="3" t="s">
        <v>2581</v>
      </c>
      <c r="H958" s="3" t="s">
        <v>13</v>
      </c>
      <c r="I958" s="2" t="s">
        <v>2693</v>
      </c>
      <c r="J958" s="3" t="s">
        <v>30</v>
      </c>
      <c r="K958">
        <f t="shared" si="28"/>
        <v>2025</v>
      </c>
      <c r="L958" t="str">
        <f t="shared" si="29"/>
        <v>18-30</v>
      </c>
      <c r="M958">
        <f>Table2[[#This Row],[appointment_date]]-Table2[[#This Row],[booking_date]]</f>
        <v>294</v>
      </c>
    </row>
    <row r="959" spans="1:13" x14ac:dyDescent="0.25">
      <c r="A959" s="4">
        <v>1041</v>
      </c>
      <c r="B959" s="3" t="s">
        <v>2582</v>
      </c>
      <c r="C959" s="4">
        <v>43</v>
      </c>
      <c r="D959" s="3" t="s">
        <v>37</v>
      </c>
      <c r="E959" s="5">
        <v>45917</v>
      </c>
      <c r="F959" s="5">
        <v>45421</v>
      </c>
      <c r="G959" s="3" t="s">
        <v>2583</v>
      </c>
      <c r="H959" s="3" t="s">
        <v>18</v>
      </c>
      <c r="I959" s="2">
        <v>646.29</v>
      </c>
      <c r="J959" s="3" t="s">
        <v>30</v>
      </c>
      <c r="K959">
        <f t="shared" si="28"/>
        <v>2025</v>
      </c>
      <c r="L959" t="str">
        <f t="shared" si="29"/>
        <v>41-50</v>
      </c>
      <c r="M959">
        <f>Table2[[#This Row],[appointment_date]]-Table2[[#This Row],[booking_date]]</f>
        <v>496</v>
      </c>
    </row>
    <row r="960" spans="1:13" x14ac:dyDescent="0.25">
      <c r="A960" s="4">
        <v>1052</v>
      </c>
      <c r="B960" s="3" t="s">
        <v>2585</v>
      </c>
      <c r="C960" s="4">
        <v>88</v>
      </c>
      <c r="D960" s="3" t="s">
        <v>37</v>
      </c>
      <c r="E960" s="5">
        <v>46006</v>
      </c>
      <c r="F960" s="5">
        <v>45975</v>
      </c>
      <c r="G960" s="3" t="s">
        <v>2586</v>
      </c>
      <c r="H960" s="3" t="s">
        <v>18</v>
      </c>
      <c r="I960" s="2">
        <v>218.39</v>
      </c>
      <c r="J960" s="3" t="s">
        <v>35</v>
      </c>
      <c r="K960">
        <f t="shared" si="28"/>
        <v>2025</v>
      </c>
      <c r="L960" t="str">
        <f t="shared" si="29"/>
        <v>81-90</v>
      </c>
      <c r="M960">
        <f>Table2[[#This Row],[appointment_date]]-Table2[[#This Row],[booking_date]]</f>
        <v>31</v>
      </c>
    </row>
    <row r="961" spans="1:13" x14ac:dyDescent="0.25">
      <c r="A961" s="4">
        <v>1051</v>
      </c>
      <c r="B961" s="3" t="s">
        <v>2588</v>
      </c>
      <c r="C961" s="4">
        <v>64</v>
      </c>
      <c r="D961" s="3" t="s">
        <v>37</v>
      </c>
      <c r="E961" s="5">
        <v>45755</v>
      </c>
      <c r="F961" s="5">
        <v>45496</v>
      </c>
      <c r="G961" s="3" t="s">
        <v>2589</v>
      </c>
      <c r="H961" s="3" t="s">
        <v>13</v>
      </c>
      <c r="I961" s="2">
        <v>390.1</v>
      </c>
      <c r="J961" s="3" t="s">
        <v>30</v>
      </c>
      <c r="K961">
        <f t="shared" si="28"/>
        <v>2025</v>
      </c>
      <c r="L961" t="str">
        <f t="shared" si="29"/>
        <v>61-70</v>
      </c>
      <c r="M961">
        <f>Table2[[#This Row],[appointment_date]]-Table2[[#This Row],[booking_date]]</f>
        <v>259</v>
      </c>
    </row>
    <row r="962" spans="1:13" x14ac:dyDescent="0.25">
      <c r="A962" s="4">
        <v>1035</v>
      </c>
      <c r="B962" s="3" t="s">
        <v>2590</v>
      </c>
      <c r="C962" s="4">
        <v>33</v>
      </c>
      <c r="D962" s="3" t="s">
        <v>68</v>
      </c>
      <c r="E962" s="5">
        <v>45781</v>
      </c>
      <c r="F962" s="5">
        <v>45447</v>
      </c>
      <c r="G962" s="3" t="s">
        <v>876</v>
      </c>
      <c r="H962" s="3" t="s">
        <v>28</v>
      </c>
      <c r="I962" s="2">
        <v>542.24</v>
      </c>
      <c r="J962" s="3" t="s">
        <v>35</v>
      </c>
      <c r="K962">
        <f t="shared" si="28"/>
        <v>2025</v>
      </c>
      <c r="L962" t="str">
        <f t="shared" si="29"/>
        <v>31-40</v>
      </c>
      <c r="M962">
        <f>Table2[[#This Row],[appointment_date]]-Table2[[#This Row],[booking_date]]</f>
        <v>334</v>
      </c>
    </row>
    <row r="963" spans="1:13" x14ac:dyDescent="0.25">
      <c r="A963" s="4">
        <v>1074</v>
      </c>
      <c r="B963" s="3" t="s">
        <v>2592</v>
      </c>
      <c r="C963" s="4">
        <v>80</v>
      </c>
      <c r="D963" s="3" t="s">
        <v>68</v>
      </c>
      <c r="E963" s="5">
        <v>45972</v>
      </c>
      <c r="F963" s="5">
        <v>45797</v>
      </c>
      <c r="G963" s="3" t="s">
        <v>2593</v>
      </c>
      <c r="H963" s="3" t="s">
        <v>24</v>
      </c>
      <c r="I963" s="2">
        <v>5.14</v>
      </c>
      <c r="J963" s="3" t="s">
        <v>30</v>
      </c>
      <c r="K963">
        <f t="shared" ref="K963:K1001" si="30">YEAR(E963)</f>
        <v>2025</v>
      </c>
      <c r="L963" t="str">
        <f t="shared" ref="L963:L1001" si="31">IF(C963="","",IF(C963&lt;=30,"18-30",IF(C963&lt;=40,"31-40",IF(C963&lt;=50,"41-50",IF(C963&lt;=60,"51-60",IF(C963&lt;=70,"61-70",IF(C963&lt;=80,"71-80","81-90")))))))</f>
        <v>71-80</v>
      </c>
      <c r="M963">
        <f>Table2[[#This Row],[appointment_date]]-Table2[[#This Row],[booking_date]]</f>
        <v>175</v>
      </c>
    </row>
    <row r="964" spans="1:13" x14ac:dyDescent="0.25">
      <c r="A964" s="4">
        <v>1098</v>
      </c>
      <c r="B964" s="3" t="s">
        <v>2595</v>
      </c>
      <c r="C964" s="4">
        <v>87</v>
      </c>
      <c r="D964" s="3" t="s">
        <v>68</v>
      </c>
      <c r="E964" s="5">
        <v>45840</v>
      </c>
      <c r="F964" s="5">
        <v>45621</v>
      </c>
      <c r="G964" s="3" t="s">
        <v>2596</v>
      </c>
      <c r="H964" s="3" t="s">
        <v>18</v>
      </c>
      <c r="I964" s="2">
        <v>133.74</v>
      </c>
      <c r="J964" s="3" t="s">
        <v>30</v>
      </c>
      <c r="K964">
        <f t="shared" si="30"/>
        <v>2025</v>
      </c>
      <c r="L964" t="str">
        <f t="shared" si="31"/>
        <v>81-90</v>
      </c>
      <c r="M964">
        <f>Table2[[#This Row],[appointment_date]]-Table2[[#This Row],[booking_date]]</f>
        <v>219</v>
      </c>
    </row>
    <row r="965" spans="1:13" x14ac:dyDescent="0.25">
      <c r="A965" s="4">
        <v>1100</v>
      </c>
      <c r="B965" s="3" t="s">
        <v>2598</v>
      </c>
      <c r="C965" s="4">
        <v>31</v>
      </c>
      <c r="D965" s="3" t="s">
        <v>68</v>
      </c>
      <c r="E965" s="5">
        <v>45931</v>
      </c>
      <c r="F965" s="5">
        <v>45590</v>
      </c>
      <c r="G965" s="3" t="s">
        <v>2599</v>
      </c>
      <c r="H965" s="3" t="s">
        <v>13</v>
      </c>
      <c r="I965" s="2">
        <v>587.71</v>
      </c>
      <c r="J965" s="3" t="s">
        <v>30</v>
      </c>
      <c r="K965">
        <f t="shared" si="30"/>
        <v>2025</v>
      </c>
      <c r="L965" t="str">
        <f t="shared" si="31"/>
        <v>31-40</v>
      </c>
      <c r="M965">
        <f>Table2[[#This Row],[appointment_date]]-Table2[[#This Row],[booking_date]]</f>
        <v>341</v>
      </c>
    </row>
    <row r="966" spans="1:13" x14ac:dyDescent="0.25">
      <c r="A966" s="4">
        <v>1049</v>
      </c>
      <c r="B966" s="3" t="s">
        <v>2601</v>
      </c>
      <c r="C966" s="4">
        <v>20</v>
      </c>
      <c r="D966" s="3" t="s">
        <v>68</v>
      </c>
      <c r="E966" s="5">
        <v>46020</v>
      </c>
      <c r="F966" s="5">
        <v>45831</v>
      </c>
      <c r="G966" s="3" t="s">
        <v>2602</v>
      </c>
      <c r="H966" s="3" t="s">
        <v>28</v>
      </c>
      <c r="I966" s="2">
        <v>2.0299999999999998</v>
      </c>
      <c r="J966" s="3" t="s">
        <v>30</v>
      </c>
      <c r="K966">
        <f t="shared" si="30"/>
        <v>2025</v>
      </c>
      <c r="L966" t="str">
        <f t="shared" si="31"/>
        <v>18-30</v>
      </c>
      <c r="M966">
        <f>Table2[[#This Row],[appointment_date]]-Table2[[#This Row],[booking_date]]</f>
        <v>189</v>
      </c>
    </row>
    <row r="967" spans="1:13" x14ac:dyDescent="0.25">
      <c r="A967" s="4">
        <v>1021</v>
      </c>
      <c r="B967" s="3" t="s">
        <v>2604</v>
      </c>
      <c r="C967" s="4">
        <v>80</v>
      </c>
      <c r="D967" s="3" t="s">
        <v>68</v>
      </c>
      <c r="E967" s="5">
        <v>45823</v>
      </c>
      <c r="F967" s="5">
        <v>45521</v>
      </c>
      <c r="G967" s="3" t="s">
        <v>2605</v>
      </c>
      <c r="H967" s="3" t="s">
        <v>18</v>
      </c>
      <c r="I967" s="2">
        <v>269.35000000000002</v>
      </c>
      <c r="J967" s="3" t="s">
        <v>35</v>
      </c>
      <c r="K967">
        <f t="shared" si="30"/>
        <v>2025</v>
      </c>
      <c r="L967" t="str">
        <f t="shared" si="31"/>
        <v>71-80</v>
      </c>
      <c r="M967">
        <f>Table2[[#This Row],[appointment_date]]-Table2[[#This Row],[booking_date]]</f>
        <v>302</v>
      </c>
    </row>
    <row r="968" spans="1:13" x14ac:dyDescent="0.25">
      <c r="A968" s="4">
        <v>1069</v>
      </c>
      <c r="B968" s="3" t="s">
        <v>2606</v>
      </c>
      <c r="C968" s="4">
        <v>18</v>
      </c>
      <c r="D968" s="3" t="s">
        <v>68</v>
      </c>
      <c r="E968" s="5">
        <v>45947</v>
      </c>
      <c r="F968" s="5">
        <v>45419</v>
      </c>
      <c r="G968" s="3" t="s">
        <v>2607</v>
      </c>
      <c r="H968" s="3" t="s">
        <v>13</v>
      </c>
      <c r="I968" s="2">
        <v>4</v>
      </c>
      <c r="J968" s="3" t="s">
        <v>30</v>
      </c>
      <c r="K968">
        <f t="shared" si="30"/>
        <v>2025</v>
      </c>
      <c r="L968" t="str">
        <f t="shared" si="31"/>
        <v>18-30</v>
      </c>
      <c r="M968">
        <f>Table2[[#This Row],[appointment_date]]-Table2[[#This Row],[booking_date]]</f>
        <v>528</v>
      </c>
    </row>
    <row r="969" spans="1:13" x14ac:dyDescent="0.25">
      <c r="A969" s="4">
        <v>1056</v>
      </c>
      <c r="B969" s="3" t="s">
        <v>2609</v>
      </c>
      <c r="C969" s="4">
        <v>71</v>
      </c>
      <c r="D969" s="3" t="s">
        <v>37</v>
      </c>
      <c r="E969" s="5">
        <v>46031</v>
      </c>
      <c r="F969" s="5">
        <v>46006</v>
      </c>
      <c r="G969" s="3" t="s">
        <v>2610</v>
      </c>
      <c r="H969" s="3" t="s">
        <v>28</v>
      </c>
      <c r="I969" s="2">
        <v>429.59</v>
      </c>
      <c r="J969" s="3" t="s">
        <v>30</v>
      </c>
      <c r="K969">
        <f t="shared" si="30"/>
        <v>2026</v>
      </c>
      <c r="L969" t="str">
        <f t="shared" si="31"/>
        <v>71-80</v>
      </c>
      <c r="M969">
        <f>Table2[[#This Row],[appointment_date]]-Table2[[#This Row],[booking_date]]</f>
        <v>25</v>
      </c>
    </row>
    <row r="970" spans="1:13" x14ac:dyDescent="0.25">
      <c r="A970" s="4">
        <v>1036</v>
      </c>
      <c r="B970" s="3" t="s">
        <v>2612</v>
      </c>
      <c r="C970" s="4">
        <v>44</v>
      </c>
      <c r="D970" s="3" t="s">
        <v>37</v>
      </c>
      <c r="E970" s="5">
        <v>45774</v>
      </c>
      <c r="F970" s="5">
        <v>45639</v>
      </c>
      <c r="G970" s="3" t="s">
        <v>2613</v>
      </c>
      <c r="H970" s="3" t="s">
        <v>18</v>
      </c>
      <c r="I970" s="2">
        <v>163</v>
      </c>
      <c r="J970" s="3" t="s">
        <v>35</v>
      </c>
      <c r="K970">
        <f t="shared" si="30"/>
        <v>2025</v>
      </c>
      <c r="L970" t="str">
        <f t="shared" si="31"/>
        <v>41-50</v>
      </c>
      <c r="M970">
        <f>Table2[[#This Row],[appointment_date]]-Table2[[#This Row],[booking_date]]</f>
        <v>135</v>
      </c>
    </row>
    <row r="971" spans="1:13" x14ac:dyDescent="0.25">
      <c r="A971" s="4">
        <v>1063</v>
      </c>
      <c r="B971" s="3" t="s">
        <v>2614</v>
      </c>
      <c r="C971" s="4">
        <v>32</v>
      </c>
      <c r="D971" s="3" t="s">
        <v>68</v>
      </c>
      <c r="E971" s="5">
        <v>45843</v>
      </c>
      <c r="F971" s="5">
        <v>45661</v>
      </c>
      <c r="G971" s="3" t="s">
        <v>999</v>
      </c>
      <c r="H971" s="3" t="s">
        <v>18</v>
      </c>
      <c r="I971" s="2">
        <v>2.8</v>
      </c>
      <c r="J971" s="3" t="s">
        <v>35</v>
      </c>
      <c r="K971">
        <f t="shared" si="30"/>
        <v>2025</v>
      </c>
      <c r="L971" t="str">
        <f t="shared" si="31"/>
        <v>31-40</v>
      </c>
      <c r="M971">
        <f>Table2[[#This Row],[appointment_date]]-Table2[[#This Row],[booking_date]]</f>
        <v>182</v>
      </c>
    </row>
    <row r="972" spans="1:13" x14ac:dyDescent="0.25">
      <c r="A972" s="4">
        <v>1081</v>
      </c>
      <c r="B972" s="3" t="s">
        <v>2616</v>
      </c>
      <c r="C972" s="4">
        <v>32</v>
      </c>
      <c r="D972" s="3" t="s">
        <v>68</v>
      </c>
      <c r="E972" s="5">
        <v>46079</v>
      </c>
      <c r="F972" s="5">
        <v>45761</v>
      </c>
      <c r="G972" s="3" t="s">
        <v>1398</v>
      </c>
      <c r="H972" s="3" t="s">
        <v>24</v>
      </c>
      <c r="I972" s="2">
        <v>112.79</v>
      </c>
      <c r="J972" s="3" t="s">
        <v>30</v>
      </c>
      <c r="K972">
        <f t="shared" si="30"/>
        <v>2026</v>
      </c>
      <c r="L972" t="str">
        <f t="shared" si="31"/>
        <v>31-40</v>
      </c>
      <c r="M972">
        <f>Table2[[#This Row],[appointment_date]]-Table2[[#This Row],[booking_date]]</f>
        <v>318</v>
      </c>
    </row>
    <row r="973" spans="1:13" x14ac:dyDescent="0.25">
      <c r="A973" s="4">
        <v>1042</v>
      </c>
      <c r="B973" s="3" t="s">
        <v>2617</v>
      </c>
      <c r="C973" s="4">
        <v>48</v>
      </c>
      <c r="D973" s="3" t="s">
        <v>37</v>
      </c>
      <c r="E973" s="5">
        <v>45822</v>
      </c>
      <c r="F973" s="5">
        <v>45737</v>
      </c>
      <c r="G973" s="3" t="s">
        <v>2618</v>
      </c>
      <c r="H973" s="3" t="s">
        <v>13</v>
      </c>
      <c r="I973" s="2">
        <v>1.81</v>
      </c>
      <c r="J973" s="3" t="s">
        <v>35</v>
      </c>
      <c r="K973">
        <f t="shared" si="30"/>
        <v>2025</v>
      </c>
      <c r="L973" t="str">
        <f t="shared" si="31"/>
        <v>41-50</v>
      </c>
      <c r="M973">
        <f>Table2[[#This Row],[appointment_date]]-Table2[[#This Row],[booking_date]]</f>
        <v>85</v>
      </c>
    </row>
    <row r="974" spans="1:13" x14ac:dyDescent="0.25">
      <c r="A974" s="4">
        <v>1082</v>
      </c>
      <c r="B974" s="3" t="s">
        <v>2620</v>
      </c>
      <c r="C974" s="4">
        <v>69</v>
      </c>
      <c r="D974" s="3" t="s">
        <v>37</v>
      </c>
      <c r="E974" s="5">
        <v>45802</v>
      </c>
      <c r="F974" s="5">
        <v>45458</v>
      </c>
      <c r="G974" s="3" t="s">
        <v>2621</v>
      </c>
      <c r="H974" s="3" t="s">
        <v>13</v>
      </c>
      <c r="I974" s="2">
        <v>105.69</v>
      </c>
      <c r="J974" s="3" t="s">
        <v>35</v>
      </c>
      <c r="K974">
        <f t="shared" si="30"/>
        <v>2025</v>
      </c>
      <c r="L974" t="str">
        <f t="shared" si="31"/>
        <v>61-70</v>
      </c>
      <c r="M974">
        <f>Table2[[#This Row],[appointment_date]]-Table2[[#This Row],[booking_date]]</f>
        <v>344</v>
      </c>
    </row>
    <row r="975" spans="1:13" x14ac:dyDescent="0.25">
      <c r="A975" s="4">
        <v>1002</v>
      </c>
      <c r="B975" s="3" t="s">
        <v>2623</v>
      </c>
      <c r="C975" s="4">
        <v>88</v>
      </c>
      <c r="D975" s="3" t="s">
        <v>37</v>
      </c>
      <c r="E975" s="5">
        <v>45947</v>
      </c>
      <c r="F975" s="5">
        <v>45801</v>
      </c>
      <c r="G975" s="3" t="s">
        <v>2624</v>
      </c>
      <c r="H975" s="3" t="s">
        <v>13</v>
      </c>
      <c r="I975" s="2">
        <v>368.53</v>
      </c>
      <c r="J975" s="3" t="s">
        <v>30</v>
      </c>
      <c r="K975">
        <f t="shared" si="30"/>
        <v>2025</v>
      </c>
      <c r="L975" t="str">
        <f t="shared" si="31"/>
        <v>81-90</v>
      </c>
      <c r="M975">
        <f>Table2[[#This Row],[appointment_date]]-Table2[[#This Row],[booking_date]]</f>
        <v>146</v>
      </c>
    </row>
    <row r="976" spans="1:13" x14ac:dyDescent="0.25">
      <c r="A976" s="4">
        <v>1047</v>
      </c>
      <c r="B976" s="3" t="s">
        <v>2625</v>
      </c>
      <c r="C976" s="4">
        <v>36</v>
      </c>
      <c r="D976" s="3" t="s">
        <v>68</v>
      </c>
      <c r="E976" s="5">
        <v>46043</v>
      </c>
      <c r="F976" s="5">
        <v>45663</v>
      </c>
      <c r="G976" s="3" t="s">
        <v>2626</v>
      </c>
      <c r="H976" s="3" t="s">
        <v>18</v>
      </c>
      <c r="I976" s="2">
        <v>2.64</v>
      </c>
      <c r="J976" s="3" t="s">
        <v>30</v>
      </c>
      <c r="K976">
        <f t="shared" si="30"/>
        <v>2026</v>
      </c>
      <c r="L976" t="str">
        <f t="shared" si="31"/>
        <v>31-40</v>
      </c>
      <c r="M976">
        <f>Table2[[#This Row],[appointment_date]]-Table2[[#This Row],[booking_date]]</f>
        <v>380</v>
      </c>
    </row>
    <row r="977" spans="1:13" x14ac:dyDescent="0.25">
      <c r="A977" s="4">
        <v>1043</v>
      </c>
      <c r="B977" s="3" t="s">
        <v>2628</v>
      </c>
      <c r="C977" s="4">
        <v>64</v>
      </c>
      <c r="D977" s="3" t="s">
        <v>68</v>
      </c>
      <c r="E977" s="5">
        <v>45956</v>
      </c>
      <c r="F977" s="5">
        <v>45427</v>
      </c>
      <c r="G977" s="3" t="s">
        <v>2629</v>
      </c>
      <c r="H977" s="3" t="s">
        <v>24</v>
      </c>
      <c r="I977" s="2">
        <v>317.32</v>
      </c>
      <c r="J977" s="3" t="s">
        <v>35</v>
      </c>
      <c r="K977">
        <f t="shared" si="30"/>
        <v>2025</v>
      </c>
      <c r="L977" t="str">
        <f t="shared" si="31"/>
        <v>61-70</v>
      </c>
      <c r="M977">
        <f>Table2[[#This Row],[appointment_date]]-Table2[[#This Row],[booking_date]]</f>
        <v>529</v>
      </c>
    </row>
    <row r="978" spans="1:13" x14ac:dyDescent="0.25">
      <c r="A978" s="4">
        <v>1072</v>
      </c>
      <c r="B978" s="3" t="s">
        <v>2631</v>
      </c>
      <c r="C978" s="4">
        <v>38</v>
      </c>
      <c r="D978" s="3" t="s">
        <v>37</v>
      </c>
      <c r="E978" s="5">
        <v>45958</v>
      </c>
      <c r="F978" s="5">
        <v>45638</v>
      </c>
      <c r="G978" s="3" t="s">
        <v>2632</v>
      </c>
      <c r="H978" s="3" t="s">
        <v>28</v>
      </c>
      <c r="I978" s="2">
        <v>3.07</v>
      </c>
      <c r="J978" s="3" t="s">
        <v>30</v>
      </c>
      <c r="K978">
        <f t="shared" si="30"/>
        <v>2025</v>
      </c>
      <c r="L978" t="str">
        <f t="shared" si="31"/>
        <v>31-40</v>
      </c>
      <c r="M978">
        <f>Table2[[#This Row],[appointment_date]]-Table2[[#This Row],[booking_date]]</f>
        <v>320</v>
      </c>
    </row>
    <row r="979" spans="1:13" x14ac:dyDescent="0.25">
      <c r="A979" s="4">
        <v>1085</v>
      </c>
      <c r="B979" s="3" t="s">
        <v>2634</v>
      </c>
      <c r="C979" s="4">
        <v>34</v>
      </c>
      <c r="D979" s="3" t="s">
        <v>68</v>
      </c>
      <c r="E979" s="5">
        <v>45989</v>
      </c>
      <c r="F979" s="5">
        <v>45823</v>
      </c>
      <c r="G979" s="3" t="s">
        <v>2635</v>
      </c>
      <c r="H979" s="3" t="s">
        <v>13</v>
      </c>
      <c r="I979" s="2">
        <v>1.26</v>
      </c>
      <c r="J979" s="3" t="s">
        <v>30</v>
      </c>
      <c r="K979">
        <f t="shared" si="30"/>
        <v>2025</v>
      </c>
      <c r="L979" t="str">
        <f t="shared" si="31"/>
        <v>31-40</v>
      </c>
      <c r="M979">
        <f>Table2[[#This Row],[appointment_date]]-Table2[[#This Row],[booking_date]]</f>
        <v>166</v>
      </c>
    </row>
    <row r="980" spans="1:13" x14ac:dyDescent="0.25">
      <c r="A980" s="4">
        <v>1088</v>
      </c>
      <c r="B980" s="3" t="s">
        <v>2637</v>
      </c>
      <c r="C980" s="4">
        <v>19</v>
      </c>
      <c r="D980" s="3" t="s">
        <v>37</v>
      </c>
      <c r="E980" s="5">
        <v>45861</v>
      </c>
      <c r="F980" s="5">
        <v>45775</v>
      </c>
      <c r="G980" s="3" t="s">
        <v>1576</v>
      </c>
      <c r="H980" s="3" t="s">
        <v>28</v>
      </c>
      <c r="I980" s="2">
        <v>108.39</v>
      </c>
      <c r="J980" s="3" t="s">
        <v>30</v>
      </c>
      <c r="K980">
        <f t="shared" si="30"/>
        <v>2025</v>
      </c>
      <c r="L980" t="str">
        <f t="shared" si="31"/>
        <v>18-30</v>
      </c>
      <c r="M980">
        <f>Table2[[#This Row],[appointment_date]]-Table2[[#This Row],[booking_date]]</f>
        <v>86</v>
      </c>
    </row>
    <row r="981" spans="1:13" x14ac:dyDescent="0.25">
      <c r="A981" s="4">
        <v>1059</v>
      </c>
      <c r="B981" s="3" t="s">
        <v>2639</v>
      </c>
      <c r="C981" s="4">
        <v>65</v>
      </c>
      <c r="D981" s="3" t="s">
        <v>37</v>
      </c>
      <c r="E981" s="5">
        <v>45862</v>
      </c>
      <c r="F981" s="5">
        <v>45808</v>
      </c>
      <c r="G981" s="3" t="s">
        <v>2640</v>
      </c>
      <c r="H981" s="3" t="s">
        <v>24</v>
      </c>
      <c r="I981" s="2">
        <v>511.28</v>
      </c>
      <c r="J981" s="3" t="s">
        <v>30</v>
      </c>
      <c r="K981">
        <f t="shared" si="30"/>
        <v>2025</v>
      </c>
      <c r="L981" t="str">
        <f t="shared" si="31"/>
        <v>61-70</v>
      </c>
      <c r="M981">
        <f>Table2[[#This Row],[appointment_date]]-Table2[[#This Row],[booking_date]]</f>
        <v>54</v>
      </c>
    </row>
    <row r="982" spans="1:13" x14ac:dyDescent="0.25">
      <c r="A982" s="4">
        <v>1028</v>
      </c>
      <c r="B982" s="3" t="s">
        <v>2642</v>
      </c>
      <c r="C982" s="4">
        <v>43</v>
      </c>
      <c r="D982" s="3" t="s">
        <v>37</v>
      </c>
      <c r="E982" s="5">
        <v>45841</v>
      </c>
      <c r="F982" s="5">
        <v>45428</v>
      </c>
      <c r="G982" s="3" t="s">
        <v>2643</v>
      </c>
      <c r="H982" s="3" t="s">
        <v>24</v>
      </c>
      <c r="I982" s="2">
        <v>2.06</v>
      </c>
      <c r="J982" s="3" t="s">
        <v>35</v>
      </c>
      <c r="K982">
        <f t="shared" si="30"/>
        <v>2025</v>
      </c>
      <c r="L982" t="str">
        <f t="shared" si="31"/>
        <v>41-50</v>
      </c>
      <c r="M982">
        <f>Table2[[#This Row],[appointment_date]]-Table2[[#This Row],[booking_date]]</f>
        <v>413</v>
      </c>
    </row>
    <row r="983" spans="1:13" x14ac:dyDescent="0.25">
      <c r="A983" s="4">
        <v>1019</v>
      </c>
      <c r="B983" s="3" t="s">
        <v>2645</v>
      </c>
      <c r="C983" s="4">
        <v>66</v>
      </c>
      <c r="D983" s="3" t="s">
        <v>37</v>
      </c>
      <c r="E983" s="5">
        <v>45865</v>
      </c>
      <c r="F983" s="5">
        <v>45855</v>
      </c>
      <c r="G983" s="3" t="s">
        <v>2646</v>
      </c>
      <c r="H983" s="3" t="s">
        <v>18</v>
      </c>
      <c r="I983" s="2">
        <v>508.95</v>
      </c>
      <c r="J983" s="3" t="s">
        <v>30</v>
      </c>
      <c r="K983">
        <f t="shared" si="30"/>
        <v>2025</v>
      </c>
      <c r="L983" t="str">
        <f t="shared" si="31"/>
        <v>61-70</v>
      </c>
      <c r="M983">
        <f>Table2[[#This Row],[appointment_date]]-Table2[[#This Row],[booking_date]]</f>
        <v>10</v>
      </c>
    </row>
    <row r="984" spans="1:13" x14ac:dyDescent="0.25">
      <c r="A984" s="4">
        <v>1012</v>
      </c>
      <c r="B984" s="3" t="s">
        <v>2648</v>
      </c>
      <c r="C984" s="4">
        <v>78</v>
      </c>
      <c r="D984" s="3" t="s">
        <v>37</v>
      </c>
      <c r="E984" s="5">
        <v>45853</v>
      </c>
      <c r="F984" s="5">
        <v>45842</v>
      </c>
      <c r="G984" s="3" t="s">
        <v>2649</v>
      </c>
      <c r="H984" s="3" t="s">
        <v>28</v>
      </c>
      <c r="I984" s="2">
        <v>264.62</v>
      </c>
      <c r="J984" s="3" t="s">
        <v>30</v>
      </c>
      <c r="K984">
        <f t="shared" si="30"/>
        <v>2025</v>
      </c>
      <c r="L984" t="str">
        <f t="shared" si="31"/>
        <v>71-80</v>
      </c>
      <c r="M984">
        <f>Table2[[#This Row],[appointment_date]]-Table2[[#This Row],[booking_date]]</f>
        <v>11</v>
      </c>
    </row>
    <row r="985" spans="1:13" x14ac:dyDescent="0.25">
      <c r="A985" s="4">
        <v>1049</v>
      </c>
      <c r="B985" s="3" t="s">
        <v>2651</v>
      </c>
      <c r="C985" s="4">
        <v>84</v>
      </c>
      <c r="D985" s="3" t="s">
        <v>68</v>
      </c>
      <c r="E985" s="5">
        <v>46017</v>
      </c>
      <c r="F985" s="5">
        <v>45876</v>
      </c>
      <c r="G985" s="3" t="s">
        <v>2652</v>
      </c>
      <c r="H985" s="3" t="s">
        <v>13</v>
      </c>
      <c r="I985" s="2">
        <v>359.17</v>
      </c>
      <c r="J985" s="3" t="s">
        <v>35</v>
      </c>
      <c r="K985">
        <f t="shared" si="30"/>
        <v>2025</v>
      </c>
      <c r="L985" t="str">
        <f t="shared" si="31"/>
        <v>81-90</v>
      </c>
      <c r="M985">
        <f>Table2[[#This Row],[appointment_date]]-Table2[[#This Row],[booking_date]]</f>
        <v>141</v>
      </c>
    </row>
    <row r="986" spans="1:13" x14ac:dyDescent="0.25">
      <c r="A986" s="4">
        <v>1081</v>
      </c>
      <c r="B986" s="3" t="s">
        <v>2653</v>
      </c>
      <c r="C986" s="4">
        <v>43</v>
      </c>
      <c r="D986" s="3"/>
      <c r="E986" s="5">
        <v>45864</v>
      </c>
      <c r="F986" s="5">
        <v>45436</v>
      </c>
      <c r="G986" s="3" t="s">
        <v>2654</v>
      </c>
      <c r="H986" s="3" t="s">
        <v>18</v>
      </c>
      <c r="I986" s="2">
        <v>3.99</v>
      </c>
      <c r="J986" s="3" t="s">
        <v>35</v>
      </c>
      <c r="K986">
        <f t="shared" si="30"/>
        <v>2025</v>
      </c>
      <c r="L986" t="str">
        <f t="shared" si="31"/>
        <v>41-50</v>
      </c>
      <c r="M986">
        <f>Table2[[#This Row],[appointment_date]]-Table2[[#This Row],[booking_date]]</f>
        <v>428</v>
      </c>
    </row>
    <row r="987" spans="1:13" x14ac:dyDescent="0.25">
      <c r="A987" s="4">
        <v>1045</v>
      </c>
      <c r="B987" s="3" t="s">
        <v>2656</v>
      </c>
      <c r="C987" s="4">
        <v>29</v>
      </c>
      <c r="D987" s="3" t="s">
        <v>37</v>
      </c>
      <c r="E987" s="5">
        <v>45856</v>
      </c>
      <c r="F987" s="5">
        <v>45740</v>
      </c>
      <c r="G987" s="3" t="s">
        <v>2657</v>
      </c>
      <c r="H987" s="3" t="s">
        <v>24</v>
      </c>
      <c r="I987" s="2">
        <v>534.1</v>
      </c>
      <c r="J987" s="3" t="s">
        <v>30</v>
      </c>
      <c r="K987">
        <f t="shared" si="30"/>
        <v>2025</v>
      </c>
      <c r="L987" t="str">
        <f t="shared" si="31"/>
        <v>18-30</v>
      </c>
      <c r="M987">
        <f>Table2[[#This Row],[appointment_date]]-Table2[[#This Row],[booking_date]]</f>
        <v>116</v>
      </c>
    </row>
    <row r="988" spans="1:13" x14ac:dyDescent="0.25">
      <c r="A988" s="4">
        <v>1076</v>
      </c>
      <c r="B988" s="3" t="s">
        <v>2659</v>
      </c>
      <c r="C988" s="4">
        <v>79</v>
      </c>
      <c r="D988" s="3" t="s">
        <v>68</v>
      </c>
      <c r="E988" s="5">
        <v>46074</v>
      </c>
      <c r="F988" s="5">
        <v>45512</v>
      </c>
      <c r="G988" s="3" t="s">
        <v>2660</v>
      </c>
      <c r="H988" s="3" t="s">
        <v>18</v>
      </c>
      <c r="I988" s="2">
        <v>120.7</v>
      </c>
      <c r="J988" s="3" t="s">
        <v>35</v>
      </c>
      <c r="K988">
        <f t="shared" si="30"/>
        <v>2026</v>
      </c>
      <c r="L988" t="str">
        <f t="shared" si="31"/>
        <v>71-80</v>
      </c>
      <c r="M988">
        <f>Table2[[#This Row],[appointment_date]]-Table2[[#This Row],[booking_date]]</f>
        <v>562</v>
      </c>
    </row>
    <row r="989" spans="1:13" x14ac:dyDescent="0.25">
      <c r="A989" s="4">
        <v>1047</v>
      </c>
      <c r="B989" s="3" t="s">
        <v>2661</v>
      </c>
      <c r="C989" s="4">
        <v>54</v>
      </c>
      <c r="D989" s="3" t="s">
        <v>68</v>
      </c>
      <c r="E989" s="5">
        <v>45810</v>
      </c>
      <c r="F989" s="5">
        <v>45504</v>
      </c>
      <c r="G989" s="3" t="s">
        <v>2662</v>
      </c>
      <c r="H989" s="3" t="s">
        <v>13</v>
      </c>
      <c r="I989" s="2">
        <v>538.85</v>
      </c>
      <c r="J989" s="3" t="s">
        <v>35</v>
      </c>
      <c r="K989">
        <f t="shared" si="30"/>
        <v>2025</v>
      </c>
      <c r="L989" t="str">
        <f t="shared" si="31"/>
        <v>51-60</v>
      </c>
      <c r="M989">
        <f>Table2[[#This Row],[appointment_date]]-Table2[[#This Row],[booking_date]]</f>
        <v>306</v>
      </c>
    </row>
    <row r="990" spans="1:13" x14ac:dyDescent="0.25">
      <c r="A990" s="4">
        <v>1068</v>
      </c>
      <c r="B990" s="3" t="s">
        <v>2664</v>
      </c>
      <c r="C990" s="4">
        <v>42</v>
      </c>
      <c r="D990" s="3" t="s">
        <v>68</v>
      </c>
      <c r="E990" s="5">
        <v>45951</v>
      </c>
      <c r="F990" s="5">
        <v>45747</v>
      </c>
      <c r="G990" s="3" t="s">
        <v>2665</v>
      </c>
      <c r="H990" s="3" t="s">
        <v>24</v>
      </c>
      <c r="I990" s="2">
        <v>263.3</v>
      </c>
      <c r="J990" s="3" t="s">
        <v>35</v>
      </c>
      <c r="K990">
        <f t="shared" si="30"/>
        <v>2025</v>
      </c>
      <c r="L990" t="str">
        <f t="shared" si="31"/>
        <v>41-50</v>
      </c>
      <c r="M990">
        <f>Table2[[#This Row],[appointment_date]]-Table2[[#This Row],[booking_date]]</f>
        <v>204</v>
      </c>
    </row>
    <row r="991" spans="1:13" x14ac:dyDescent="0.25">
      <c r="A991" s="4">
        <v>1021</v>
      </c>
      <c r="B991" s="3" t="s">
        <v>2666</v>
      </c>
      <c r="C991" s="4">
        <v>41</v>
      </c>
      <c r="D991" s="3" t="s">
        <v>68</v>
      </c>
      <c r="E991" s="5">
        <v>45750</v>
      </c>
      <c r="F991" s="5">
        <v>45526</v>
      </c>
      <c r="G991" s="3" t="s">
        <v>2667</v>
      </c>
      <c r="H991" s="3" t="s">
        <v>18</v>
      </c>
      <c r="I991" s="2">
        <v>625.21</v>
      </c>
      <c r="J991" s="3" t="s">
        <v>35</v>
      </c>
      <c r="K991">
        <f t="shared" si="30"/>
        <v>2025</v>
      </c>
      <c r="L991" t="str">
        <f t="shared" si="31"/>
        <v>41-50</v>
      </c>
      <c r="M991">
        <f>Table2[[#This Row],[appointment_date]]-Table2[[#This Row],[booking_date]]</f>
        <v>224</v>
      </c>
    </row>
    <row r="992" spans="1:13" x14ac:dyDescent="0.25">
      <c r="A992" s="4">
        <v>1052</v>
      </c>
      <c r="B992" s="3" t="s">
        <v>2669</v>
      </c>
      <c r="C992" s="4">
        <v>48</v>
      </c>
      <c r="D992" s="3" t="s">
        <v>37</v>
      </c>
      <c r="E992" s="5">
        <v>45878</v>
      </c>
      <c r="F992" s="5">
        <v>45773</v>
      </c>
      <c r="G992" s="3" t="s">
        <v>2670</v>
      </c>
      <c r="H992" s="3" t="s">
        <v>18</v>
      </c>
      <c r="I992" s="2">
        <v>89.3</v>
      </c>
      <c r="J992" s="3" t="s">
        <v>30</v>
      </c>
      <c r="K992">
        <f t="shared" si="30"/>
        <v>2025</v>
      </c>
      <c r="L992" t="str">
        <f t="shared" si="31"/>
        <v>41-50</v>
      </c>
      <c r="M992">
        <f>Table2[[#This Row],[appointment_date]]-Table2[[#This Row],[booking_date]]</f>
        <v>105</v>
      </c>
    </row>
    <row r="993" spans="1:13" x14ac:dyDescent="0.25">
      <c r="A993" s="4">
        <v>1075</v>
      </c>
      <c r="B993" s="3" t="s">
        <v>2672</v>
      </c>
      <c r="C993" s="4">
        <v>43</v>
      </c>
      <c r="D993" s="3" t="s">
        <v>68</v>
      </c>
      <c r="E993" s="5">
        <v>46034</v>
      </c>
      <c r="F993" s="5">
        <v>45960</v>
      </c>
      <c r="G993" s="3" t="s">
        <v>2673</v>
      </c>
      <c r="H993" s="3" t="s">
        <v>28</v>
      </c>
      <c r="I993" s="2">
        <v>501.09</v>
      </c>
      <c r="J993" s="3" t="s">
        <v>35</v>
      </c>
      <c r="K993">
        <f t="shared" si="30"/>
        <v>2026</v>
      </c>
      <c r="L993" t="str">
        <f t="shared" si="31"/>
        <v>41-50</v>
      </c>
      <c r="M993">
        <f>Table2[[#This Row],[appointment_date]]-Table2[[#This Row],[booking_date]]</f>
        <v>74</v>
      </c>
    </row>
    <row r="994" spans="1:13" x14ac:dyDescent="0.25">
      <c r="A994" s="4">
        <v>1047</v>
      </c>
      <c r="B994" s="3" t="s">
        <v>2675</v>
      </c>
      <c r="C994" s="4">
        <v>76</v>
      </c>
      <c r="D994" s="3" t="s">
        <v>37</v>
      </c>
      <c r="E994" s="5">
        <v>46081</v>
      </c>
      <c r="F994" s="5">
        <v>45615</v>
      </c>
      <c r="G994" s="3" t="s">
        <v>802</v>
      </c>
      <c r="H994" s="3" t="s">
        <v>13</v>
      </c>
      <c r="I994" s="2">
        <v>4.17</v>
      </c>
      <c r="J994" s="3" t="s">
        <v>30</v>
      </c>
      <c r="K994">
        <f t="shared" si="30"/>
        <v>2026</v>
      </c>
      <c r="L994" t="str">
        <f t="shared" si="31"/>
        <v>71-80</v>
      </c>
      <c r="M994">
        <f>Table2[[#This Row],[appointment_date]]-Table2[[#This Row],[booking_date]]</f>
        <v>466</v>
      </c>
    </row>
    <row r="995" spans="1:13" x14ac:dyDescent="0.25">
      <c r="A995" s="4">
        <v>1017</v>
      </c>
      <c r="B995" s="3" t="s">
        <v>2677</v>
      </c>
      <c r="C995" s="4">
        <v>50</v>
      </c>
      <c r="D995" s="3" t="s">
        <v>68</v>
      </c>
      <c r="E995" s="5">
        <v>45821</v>
      </c>
      <c r="F995" s="5">
        <v>45672</v>
      </c>
      <c r="G995" s="3" t="s">
        <v>2678</v>
      </c>
      <c r="H995" s="3" t="s">
        <v>13</v>
      </c>
      <c r="I995" s="2">
        <v>370.13</v>
      </c>
      <c r="J995" s="3" t="s">
        <v>35</v>
      </c>
      <c r="K995">
        <f t="shared" si="30"/>
        <v>2025</v>
      </c>
      <c r="L995" t="str">
        <f t="shared" si="31"/>
        <v>41-50</v>
      </c>
      <c r="M995">
        <f>Table2[[#This Row],[appointment_date]]-Table2[[#This Row],[booking_date]]</f>
        <v>149</v>
      </c>
    </row>
    <row r="996" spans="1:13" x14ac:dyDescent="0.25">
      <c r="A996" s="4">
        <v>1068</v>
      </c>
      <c r="B996" s="3" t="s">
        <v>2679</v>
      </c>
      <c r="C996" s="4">
        <v>19</v>
      </c>
      <c r="D996" s="3" t="s">
        <v>68</v>
      </c>
      <c r="E996" s="5">
        <v>46048</v>
      </c>
      <c r="F996" s="5">
        <v>45624</v>
      </c>
      <c r="G996" s="3" t="s">
        <v>2680</v>
      </c>
      <c r="H996" s="3" t="s">
        <v>28</v>
      </c>
      <c r="I996" s="2">
        <v>4.1500000000000004</v>
      </c>
      <c r="J996" s="3" t="s">
        <v>35</v>
      </c>
      <c r="K996">
        <f t="shared" si="30"/>
        <v>2026</v>
      </c>
      <c r="L996" t="str">
        <f t="shared" si="31"/>
        <v>18-30</v>
      </c>
      <c r="M996">
        <f>Table2[[#This Row],[appointment_date]]-Table2[[#This Row],[booking_date]]</f>
        <v>424</v>
      </c>
    </row>
    <row r="997" spans="1:13" x14ac:dyDescent="0.25">
      <c r="A997" s="4">
        <v>1082</v>
      </c>
      <c r="B997" s="3" t="s">
        <v>2682</v>
      </c>
      <c r="C997" s="4">
        <v>64</v>
      </c>
      <c r="D997" s="3" t="s">
        <v>37</v>
      </c>
      <c r="E997" s="5">
        <v>45914</v>
      </c>
      <c r="F997" s="5">
        <v>45488</v>
      </c>
      <c r="G997" s="3" t="s">
        <v>2683</v>
      </c>
      <c r="H997" s="3" t="s">
        <v>28</v>
      </c>
      <c r="I997" s="2">
        <v>2.2000000000000002</v>
      </c>
      <c r="J997" s="3" t="s">
        <v>35</v>
      </c>
      <c r="K997">
        <f t="shared" si="30"/>
        <v>2025</v>
      </c>
      <c r="L997" t="str">
        <f t="shared" si="31"/>
        <v>61-70</v>
      </c>
      <c r="M997">
        <f>Table2[[#This Row],[appointment_date]]-Table2[[#This Row],[booking_date]]</f>
        <v>426</v>
      </c>
    </row>
    <row r="998" spans="1:13" x14ac:dyDescent="0.25">
      <c r="A998" s="4">
        <v>1008</v>
      </c>
      <c r="B998" s="3" t="s">
        <v>2685</v>
      </c>
      <c r="C998" s="4">
        <v>67</v>
      </c>
      <c r="D998" s="3" t="s">
        <v>37</v>
      </c>
      <c r="E998" s="5">
        <v>45756</v>
      </c>
      <c r="F998" s="5">
        <v>45463</v>
      </c>
      <c r="G998" s="3" t="s">
        <v>1052</v>
      </c>
      <c r="H998" s="3" t="s">
        <v>28</v>
      </c>
      <c r="I998" s="2">
        <v>2.69</v>
      </c>
      <c r="J998" s="3" t="s">
        <v>30</v>
      </c>
      <c r="K998">
        <f t="shared" si="30"/>
        <v>2025</v>
      </c>
      <c r="L998" t="str">
        <f t="shared" si="31"/>
        <v>61-70</v>
      </c>
      <c r="M998">
        <f>Table2[[#This Row],[appointment_date]]-Table2[[#This Row],[booking_date]]</f>
        <v>293</v>
      </c>
    </row>
    <row r="999" spans="1:13" x14ac:dyDescent="0.25">
      <c r="A999" s="4">
        <v>1022</v>
      </c>
      <c r="B999" s="3" t="s">
        <v>1440</v>
      </c>
      <c r="C999" s="4">
        <v>28</v>
      </c>
      <c r="D999" s="3" t="s">
        <v>68</v>
      </c>
      <c r="E999" s="5">
        <v>46066</v>
      </c>
      <c r="F999" s="5">
        <v>45456</v>
      </c>
      <c r="G999" s="3" t="s">
        <v>2687</v>
      </c>
      <c r="H999" s="3" t="s">
        <v>24</v>
      </c>
      <c r="I999" s="2">
        <v>205.46</v>
      </c>
      <c r="J999" s="3" t="s">
        <v>30</v>
      </c>
      <c r="K999">
        <f t="shared" si="30"/>
        <v>2026</v>
      </c>
      <c r="L999" t="str">
        <f t="shared" si="31"/>
        <v>18-30</v>
      </c>
      <c r="M999">
        <f>Table2[[#This Row],[appointment_date]]-Table2[[#This Row],[booking_date]]</f>
        <v>610</v>
      </c>
    </row>
    <row r="1000" spans="1:13" x14ac:dyDescent="0.25">
      <c r="A1000" s="4">
        <v>1088</v>
      </c>
      <c r="B1000" s="3" t="s">
        <v>1195</v>
      </c>
      <c r="C1000" s="4">
        <v>65</v>
      </c>
      <c r="D1000" s="3" t="s">
        <v>37</v>
      </c>
      <c r="E1000" s="5">
        <v>45842</v>
      </c>
      <c r="F1000" s="5">
        <v>45397</v>
      </c>
      <c r="G1000" s="3" t="s">
        <v>2689</v>
      </c>
      <c r="H1000" s="3" t="s">
        <v>24</v>
      </c>
      <c r="I1000" s="2">
        <v>434.95</v>
      </c>
      <c r="J1000" s="3" t="s">
        <v>30</v>
      </c>
      <c r="K1000">
        <f t="shared" si="30"/>
        <v>2025</v>
      </c>
      <c r="L1000" t="str">
        <f t="shared" si="31"/>
        <v>61-70</v>
      </c>
      <c r="M1000">
        <f>Table2[[#This Row],[appointment_date]]-Table2[[#This Row],[booking_date]]</f>
        <v>445</v>
      </c>
    </row>
    <row r="1001" spans="1:13" x14ac:dyDescent="0.25">
      <c r="A1001" s="7">
        <v>1003</v>
      </c>
      <c r="B1001" s="6" t="s">
        <v>2690</v>
      </c>
      <c r="C1001" s="7">
        <v>79</v>
      </c>
      <c r="D1001" s="6" t="s">
        <v>68</v>
      </c>
      <c r="E1001" s="8">
        <v>45966</v>
      </c>
      <c r="F1001" s="8">
        <v>45495</v>
      </c>
      <c r="G1001" s="6" t="s">
        <v>2691</v>
      </c>
      <c r="H1001" s="6" t="s">
        <v>13</v>
      </c>
      <c r="I1001" s="2">
        <v>114.5</v>
      </c>
      <c r="J1001" s="6" t="s">
        <v>35</v>
      </c>
      <c r="K1001">
        <f t="shared" si="30"/>
        <v>2025</v>
      </c>
      <c r="L1001" t="str">
        <f t="shared" si="31"/>
        <v>71-80</v>
      </c>
      <c r="M1001">
        <f>Table2[[#This Row],[appointment_date]]-Table2[[#This Row],[booking_date]]</f>
        <v>471</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1"/>
  <sheetViews>
    <sheetView zoomScale="85" zoomScaleNormal="85" workbookViewId="0">
      <selection activeCell="E2" sqref="E2"/>
    </sheetView>
  </sheetViews>
  <sheetFormatPr defaultRowHeight="15" x14ac:dyDescent="0.25"/>
  <cols>
    <col min="1" max="1" width="12.28515625" customWidth="1"/>
    <col min="2" max="2" width="24.28515625" bestFit="1" customWidth="1"/>
    <col min="3" max="3" width="6.28515625" customWidth="1"/>
    <col min="4" max="4" width="9.42578125" customWidth="1"/>
    <col min="5" max="5" width="19.7109375" customWidth="1"/>
    <col min="6" max="6" width="15.28515625" customWidth="1"/>
    <col min="7" max="7" width="22.7109375" bestFit="1" customWidth="1"/>
    <col min="8" max="8" width="13.7109375" customWidth="1"/>
    <col min="9" max="9" width="16.5703125" customWidth="1"/>
    <col min="10" max="10" width="20.85546875" customWidth="1"/>
  </cols>
  <sheetData>
    <row r="1" spans="1:10" x14ac:dyDescent="0.25">
      <c r="A1" t="s">
        <v>0</v>
      </c>
      <c r="B1" t="s">
        <v>1</v>
      </c>
      <c r="C1" t="s">
        <v>2</v>
      </c>
      <c r="D1" t="s">
        <v>3</v>
      </c>
      <c r="E1" t="s">
        <v>4</v>
      </c>
      <c r="F1" t="s">
        <v>5</v>
      </c>
      <c r="G1" t="s">
        <v>6</v>
      </c>
      <c r="H1" t="s">
        <v>7</v>
      </c>
      <c r="I1" t="s">
        <v>8</v>
      </c>
      <c r="J1" t="s">
        <v>9</v>
      </c>
    </row>
    <row r="2" spans="1:10" x14ac:dyDescent="0.25">
      <c r="A2">
        <v>1080</v>
      </c>
      <c r="B2" t="s">
        <v>10</v>
      </c>
      <c r="C2">
        <v>76</v>
      </c>
      <c r="D2" t="s">
        <v>11</v>
      </c>
      <c r="E2">
        <v>46079</v>
      </c>
      <c r="F2">
        <v>45629</v>
      </c>
      <c r="G2" t="s">
        <v>12</v>
      </c>
      <c r="H2" t="s">
        <v>13</v>
      </c>
      <c r="I2" t="s">
        <v>14</v>
      </c>
      <c r="J2">
        <v>1</v>
      </c>
    </row>
    <row r="3" spans="1:10" x14ac:dyDescent="0.25">
      <c r="A3">
        <v>1074</v>
      </c>
      <c r="B3" t="s">
        <v>15</v>
      </c>
      <c r="C3">
        <v>69</v>
      </c>
      <c r="D3" t="s">
        <v>16</v>
      </c>
      <c r="E3">
        <v>45800</v>
      </c>
      <c r="F3">
        <v>45455</v>
      </c>
      <c r="G3" t="s">
        <v>17</v>
      </c>
      <c r="H3" t="s">
        <v>18</v>
      </c>
      <c r="I3" t="s">
        <v>19</v>
      </c>
      <c r="J3" t="s">
        <v>20</v>
      </c>
    </row>
    <row r="4" spans="1:10" x14ac:dyDescent="0.25">
      <c r="A4">
        <v>1067</v>
      </c>
      <c r="B4" t="s">
        <v>21</v>
      </c>
      <c r="C4">
        <v>79</v>
      </c>
      <c r="D4" t="s">
        <v>22</v>
      </c>
      <c r="E4">
        <v>45991</v>
      </c>
      <c r="F4">
        <v>45509</v>
      </c>
      <c r="G4" t="s">
        <v>23</v>
      </c>
      <c r="H4" t="s">
        <v>24</v>
      </c>
      <c r="I4" t="s">
        <v>25</v>
      </c>
      <c r="J4" t="s">
        <v>20</v>
      </c>
    </row>
    <row r="5" spans="1:10" x14ac:dyDescent="0.25">
      <c r="A5">
        <v>1072</v>
      </c>
      <c r="B5" t="s">
        <v>26</v>
      </c>
      <c r="C5">
        <v>47</v>
      </c>
      <c r="D5" t="s">
        <v>16</v>
      </c>
      <c r="E5">
        <v>45795</v>
      </c>
      <c r="F5">
        <v>45544</v>
      </c>
      <c r="G5" t="s">
        <v>27</v>
      </c>
      <c r="H5" t="s">
        <v>28</v>
      </c>
      <c r="I5" t="s">
        <v>29</v>
      </c>
      <c r="J5" t="s">
        <v>30</v>
      </c>
    </row>
    <row r="6" spans="1:10" x14ac:dyDescent="0.25">
      <c r="A6">
        <v>1092</v>
      </c>
      <c r="B6" t="s">
        <v>31</v>
      </c>
      <c r="C6">
        <v>45</v>
      </c>
      <c r="E6">
        <v>46088</v>
      </c>
      <c r="F6">
        <v>45521</v>
      </c>
      <c r="G6" t="s">
        <v>32</v>
      </c>
      <c r="H6" t="s">
        <v>28</v>
      </c>
      <c r="I6">
        <v>84.44</v>
      </c>
      <c r="J6">
        <v>1</v>
      </c>
    </row>
    <row r="7" spans="1:10" x14ac:dyDescent="0.25">
      <c r="A7">
        <v>1057</v>
      </c>
      <c r="B7" t="s">
        <v>33</v>
      </c>
      <c r="C7">
        <v>78</v>
      </c>
      <c r="D7">
        <v>1</v>
      </c>
      <c r="E7">
        <v>45926</v>
      </c>
      <c r="F7">
        <v>45900</v>
      </c>
      <c r="G7" t="s">
        <v>34</v>
      </c>
      <c r="H7" t="s">
        <v>28</v>
      </c>
      <c r="J7" t="s">
        <v>35</v>
      </c>
    </row>
    <row r="8" spans="1:10" x14ac:dyDescent="0.25">
      <c r="A8">
        <v>1018</v>
      </c>
      <c r="B8" t="s">
        <v>36</v>
      </c>
      <c r="C8">
        <v>22</v>
      </c>
      <c r="D8" t="s">
        <v>37</v>
      </c>
      <c r="E8">
        <v>45960</v>
      </c>
      <c r="F8">
        <v>45655</v>
      </c>
      <c r="G8" t="s">
        <v>38</v>
      </c>
      <c r="H8" t="s">
        <v>13</v>
      </c>
      <c r="I8" t="s">
        <v>39</v>
      </c>
      <c r="J8" t="s">
        <v>30</v>
      </c>
    </row>
    <row r="9" spans="1:10" x14ac:dyDescent="0.25">
      <c r="A9">
        <v>1074</v>
      </c>
      <c r="B9" t="s">
        <v>40</v>
      </c>
      <c r="C9">
        <v>57</v>
      </c>
      <c r="D9" t="s">
        <v>22</v>
      </c>
      <c r="E9">
        <v>45770</v>
      </c>
      <c r="F9">
        <v>45744</v>
      </c>
      <c r="G9" t="s">
        <v>41</v>
      </c>
      <c r="H9" t="s">
        <v>24</v>
      </c>
      <c r="I9" t="s">
        <v>42</v>
      </c>
      <c r="J9" t="s">
        <v>30</v>
      </c>
    </row>
    <row r="10" spans="1:10" x14ac:dyDescent="0.25">
      <c r="A10">
        <v>1041</v>
      </c>
      <c r="B10" t="s">
        <v>43</v>
      </c>
      <c r="C10">
        <v>54</v>
      </c>
      <c r="D10" t="s">
        <v>11</v>
      </c>
      <c r="E10">
        <v>45891</v>
      </c>
      <c r="F10">
        <v>45603</v>
      </c>
      <c r="G10" t="s">
        <v>44</v>
      </c>
      <c r="H10" t="s">
        <v>28</v>
      </c>
      <c r="I10">
        <v>452.37</v>
      </c>
      <c r="J10" t="s">
        <v>35</v>
      </c>
    </row>
    <row r="11" spans="1:10" x14ac:dyDescent="0.25">
      <c r="A11">
        <v>1011</v>
      </c>
      <c r="B11" t="s">
        <v>45</v>
      </c>
      <c r="C11">
        <v>45</v>
      </c>
      <c r="D11" t="s">
        <v>22</v>
      </c>
      <c r="E11">
        <v>46097</v>
      </c>
      <c r="F11">
        <v>46003</v>
      </c>
      <c r="G11" t="s">
        <v>46</v>
      </c>
      <c r="H11" t="s">
        <v>24</v>
      </c>
      <c r="I11" t="s">
        <v>47</v>
      </c>
      <c r="J11" t="s">
        <v>35</v>
      </c>
    </row>
    <row r="12" spans="1:10" x14ac:dyDescent="0.25">
      <c r="A12">
        <v>1086</v>
      </c>
      <c r="B12" t="s">
        <v>48</v>
      </c>
      <c r="C12">
        <v>54</v>
      </c>
      <c r="D12" t="s">
        <v>49</v>
      </c>
      <c r="E12">
        <v>45771</v>
      </c>
      <c r="F12">
        <v>45572</v>
      </c>
      <c r="G12" t="s">
        <v>50</v>
      </c>
      <c r="H12" t="s">
        <v>13</v>
      </c>
      <c r="I12" t="s">
        <v>51</v>
      </c>
      <c r="J12" t="s">
        <v>20</v>
      </c>
    </row>
    <row r="13" spans="1:10" x14ac:dyDescent="0.25">
      <c r="A13">
        <v>1041</v>
      </c>
      <c r="B13" t="s">
        <v>52</v>
      </c>
      <c r="C13">
        <v>68</v>
      </c>
      <c r="D13" t="s">
        <v>16</v>
      </c>
      <c r="E13">
        <v>46088</v>
      </c>
      <c r="F13">
        <v>45406</v>
      </c>
      <c r="G13" t="s">
        <v>53</v>
      </c>
      <c r="H13" t="s">
        <v>28</v>
      </c>
      <c r="I13">
        <v>82.88</v>
      </c>
      <c r="J13" t="s">
        <v>35</v>
      </c>
    </row>
    <row r="14" spans="1:10" x14ac:dyDescent="0.25">
      <c r="A14">
        <v>1057</v>
      </c>
      <c r="B14" t="s">
        <v>54</v>
      </c>
      <c r="C14">
        <v>61</v>
      </c>
      <c r="D14">
        <v>1</v>
      </c>
      <c r="E14">
        <v>45869</v>
      </c>
      <c r="F14">
        <v>45417</v>
      </c>
      <c r="G14" t="s">
        <v>55</v>
      </c>
      <c r="H14" t="s">
        <v>24</v>
      </c>
      <c r="I14" t="s">
        <v>56</v>
      </c>
      <c r="J14" t="s">
        <v>57</v>
      </c>
    </row>
    <row r="15" spans="1:10" x14ac:dyDescent="0.25">
      <c r="A15">
        <v>1022</v>
      </c>
      <c r="B15" t="s">
        <v>58</v>
      </c>
      <c r="C15">
        <v>70</v>
      </c>
      <c r="D15" t="s">
        <v>22</v>
      </c>
      <c r="E15">
        <v>45921</v>
      </c>
      <c r="F15">
        <v>45602</v>
      </c>
      <c r="G15" t="s">
        <v>59</v>
      </c>
      <c r="H15" t="s">
        <v>18</v>
      </c>
      <c r="I15" t="s">
        <v>60</v>
      </c>
      <c r="J15" t="s">
        <v>20</v>
      </c>
    </row>
    <row r="16" spans="1:10" x14ac:dyDescent="0.25">
      <c r="A16">
        <v>1046</v>
      </c>
      <c r="B16" t="s">
        <v>61</v>
      </c>
      <c r="C16">
        <v>36</v>
      </c>
      <c r="D16" t="s">
        <v>16</v>
      </c>
      <c r="E16">
        <v>46093</v>
      </c>
      <c r="F16">
        <v>45969</v>
      </c>
      <c r="G16" t="s">
        <v>62</v>
      </c>
      <c r="H16" t="s">
        <v>13</v>
      </c>
      <c r="I16" t="s">
        <v>63</v>
      </c>
      <c r="J16" t="s">
        <v>57</v>
      </c>
    </row>
    <row r="17" spans="1:10" x14ac:dyDescent="0.25">
      <c r="A17">
        <v>1025</v>
      </c>
      <c r="B17" t="s">
        <v>64</v>
      </c>
      <c r="C17">
        <v>23</v>
      </c>
      <c r="D17" t="s">
        <v>11</v>
      </c>
      <c r="E17">
        <v>46059</v>
      </c>
      <c r="F17">
        <v>45725</v>
      </c>
      <c r="G17" t="s">
        <v>65</v>
      </c>
      <c r="H17" t="s">
        <v>18</v>
      </c>
      <c r="I17" t="s">
        <v>66</v>
      </c>
      <c r="J17" t="s">
        <v>20</v>
      </c>
    </row>
    <row r="18" spans="1:10" x14ac:dyDescent="0.25">
      <c r="A18">
        <v>1027</v>
      </c>
      <c r="B18" t="s">
        <v>67</v>
      </c>
      <c r="C18">
        <v>72</v>
      </c>
      <c r="D18" t="s">
        <v>68</v>
      </c>
      <c r="E18">
        <v>45896</v>
      </c>
      <c r="F18">
        <v>45701</v>
      </c>
      <c r="G18" t="s">
        <v>69</v>
      </c>
      <c r="H18" t="s">
        <v>13</v>
      </c>
      <c r="I18" t="s">
        <v>70</v>
      </c>
      <c r="J18" t="s">
        <v>35</v>
      </c>
    </row>
    <row r="19" spans="1:10" x14ac:dyDescent="0.25">
      <c r="A19">
        <v>1059</v>
      </c>
      <c r="B19" t="s">
        <v>71</v>
      </c>
      <c r="C19">
        <v>66</v>
      </c>
      <c r="D19" t="s">
        <v>37</v>
      </c>
      <c r="E19">
        <v>45972</v>
      </c>
      <c r="F19">
        <v>45627</v>
      </c>
      <c r="G19" t="s">
        <v>72</v>
      </c>
      <c r="H19" t="s">
        <v>13</v>
      </c>
      <c r="I19">
        <v>153.07</v>
      </c>
      <c r="J19" t="s">
        <v>20</v>
      </c>
    </row>
    <row r="20" spans="1:10" x14ac:dyDescent="0.25">
      <c r="A20">
        <v>1086</v>
      </c>
      <c r="B20" t="s">
        <v>73</v>
      </c>
      <c r="C20">
        <v>81</v>
      </c>
      <c r="D20" t="s">
        <v>22</v>
      </c>
      <c r="E20">
        <v>45757</v>
      </c>
      <c r="F20">
        <v>45642</v>
      </c>
      <c r="G20" t="s">
        <v>74</v>
      </c>
      <c r="H20" t="s">
        <v>28</v>
      </c>
      <c r="I20" t="s">
        <v>75</v>
      </c>
      <c r="J20">
        <v>1</v>
      </c>
    </row>
    <row r="21" spans="1:10" x14ac:dyDescent="0.25">
      <c r="A21">
        <v>1033</v>
      </c>
      <c r="B21" t="s">
        <v>76</v>
      </c>
      <c r="C21">
        <v>76</v>
      </c>
      <c r="D21" t="s">
        <v>37</v>
      </c>
      <c r="E21">
        <v>45966</v>
      </c>
      <c r="F21">
        <v>45800</v>
      </c>
      <c r="G21" t="s">
        <v>77</v>
      </c>
      <c r="H21" t="s">
        <v>24</v>
      </c>
      <c r="I21" t="s">
        <v>78</v>
      </c>
      <c r="J21" t="s">
        <v>35</v>
      </c>
    </row>
    <row r="22" spans="1:10" x14ac:dyDescent="0.25">
      <c r="A22">
        <v>1069</v>
      </c>
      <c r="B22" t="s">
        <v>79</v>
      </c>
      <c r="C22">
        <v>90</v>
      </c>
      <c r="D22" t="s">
        <v>49</v>
      </c>
      <c r="E22">
        <v>45944</v>
      </c>
      <c r="F22">
        <v>45440</v>
      </c>
      <c r="G22" t="s">
        <v>80</v>
      </c>
      <c r="H22" t="s">
        <v>24</v>
      </c>
      <c r="I22" t="s">
        <v>81</v>
      </c>
      <c r="J22" t="s">
        <v>57</v>
      </c>
    </row>
    <row r="23" spans="1:10" x14ac:dyDescent="0.25">
      <c r="A23">
        <v>1097</v>
      </c>
      <c r="B23" t="s">
        <v>82</v>
      </c>
      <c r="C23">
        <v>56</v>
      </c>
      <c r="D23" t="s">
        <v>49</v>
      </c>
      <c r="E23">
        <v>45792</v>
      </c>
      <c r="F23">
        <v>45417</v>
      </c>
      <c r="G23" t="s">
        <v>83</v>
      </c>
      <c r="H23" t="s">
        <v>18</v>
      </c>
      <c r="I23" t="s">
        <v>84</v>
      </c>
      <c r="J23" t="s">
        <v>20</v>
      </c>
    </row>
    <row r="24" spans="1:10" x14ac:dyDescent="0.25">
      <c r="A24">
        <v>1064</v>
      </c>
      <c r="B24" t="s">
        <v>85</v>
      </c>
      <c r="C24">
        <v>88</v>
      </c>
      <c r="D24" t="s">
        <v>11</v>
      </c>
      <c r="E24">
        <v>46052</v>
      </c>
      <c r="F24">
        <v>45516</v>
      </c>
      <c r="G24" t="s">
        <v>86</v>
      </c>
      <c r="H24" t="s">
        <v>28</v>
      </c>
      <c r="I24">
        <v>203.61</v>
      </c>
      <c r="J24" t="s">
        <v>30</v>
      </c>
    </row>
    <row r="25" spans="1:10" x14ac:dyDescent="0.25">
      <c r="A25">
        <v>1089</v>
      </c>
      <c r="B25" t="s">
        <v>87</v>
      </c>
      <c r="C25">
        <v>32</v>
      </c>
      <c r="D25" t="s">
        <v>16</v>
      </c>
      <c r="E25">
        <v>45788</v>
      </c>
      <c r="F25">
        <v>45479</v>
      </c>
      <c r="G25" t="s">
        <v>88</v>
      </c>
      <c r="H25" t="s">
        <v>24</v>
      </c>
      <c r="I25" t="s">
        <v>89</v>
      </c>
      <c r="J25" t="s">
        <v>57</v>
      </c>
    </row>
    <row r="26" spans="1:10" x14ac:dyDescent="0.25">
      <c r="A26">
        <v>1086</v>
      </c>
      <c r="B26" t="s">
        <v>90</v>
      </c>
      <c r="C26">
        <v>34</v>
      </c>
      <c r="D26" t="s">
        <v>16</v>
      </c>
      <c r="E26">
        <v>45869</v>
      </c>
      <c r="F26">
        <v>45391</v>
      </c>
      <c r="G26" t="s">
        <v>91</v>
      </c>
      <c r="H26" t="s">
        <v>13</v>
      </c>
      <c r="I26" t="s">
        <v>92</v>
      </c>
      <c r="J26" t="s">
        <v>20</v>
      </c>
    </row>
    <row r="27" spans="1:10" x14ac:dyDescent="0.25">
      <c r="A27">
        <v>1073</v>
      </c>
      <c r="B27" t="s">
        <v>93</v>
      </c>
      <c r="C27">
        <v>88</v>
      </c>
      <c r="D27">
        <v>0</v>
      </c>
      <c r="E27">
        <v>45835</v>
      </c>
      <c r="F27">
        <v>45783</v>
      </c>
      <c r="G27" t="s">
        <v>94</v>
      </c>
      <c r="H27" t="s">
        <v>28</v>
      </c>
      <c r="I27">
        <v>51.72</v>
      </c>
      <c r="J27" t="s">
        <v>20</v>
      </c>
    </row>
    <row r="28" spans="1:10" x14ac:dyDescent="0.25">
      <c r="A28">
        <v>1093</v>
      </c>
      <c r="B28" t="s">
        <v>95</v>
      </c>
      <c r="C28">
        <v>20</v>
      </c>
      <c r="D28" t="s">
        <v>49</v>
      </c>
      <c r="E28">
        <v>46104</v>
      </c>
      <c r="F28">
        <v>45821</v>
      </c>
      <c r="G28" t="s">
        <v>96</v>
      </c>
      <c r="H28" t="s">
        <v>13</v>
      </c>
      <c r="I28" t="s">
        <v>97</v>
      </c>
      <c r="J28">
        <v>1</v>
      </c>
    </row>
    <row r="29" spans="1:10" x14ac:dyDescent="0.25">
      <c r="A29">
        <v>1084</v>
      </c>
      <c r="B29" t="s">
        <v>98</v>
      </c>
      <c r="C29">
        <v>86</v>
      </c>
      <c r="D29" t="s">
        <v>49</v>
      </c>
      <c r="E29">
        <v>46089</v>
      </c>
      <c r="F29">
        <v>45482</v>
      </c>
      <c r="G29" t="s">
        <v>99</v>
      </c>
      <c r="H29" t="s">
        <v>24</v>
      </c>
      <c r="I29" t="s">
        <v>100</v>
      </c>
      <c r="J29" t="s">
        <v>35</v>
      </c>
    </row>
    <row r="30" spans="1:10" x14ac:dyDescent="0.25">
      <c r="A30">
        <v>1002</v>
      </c>
      <c r="B30" t="s">
        <v>101</v>
      </c>
      <c r="C30">
        <v>42</v>
      </c>
      <c r="D30" t="s">
        <v>22</v>
      </c>
      <c r="E30">
        <v>45944</v>
      </c>
      <c r="F30">
        <v>45600</v>
      </c>
      <c r="G30" t="s">
        <v>102</v>
      </c>
      <c r="H30" t="s">
        <v>24</v>
      </c>
      <c r="I30" t="s">
        <v>103</v>
      </c>
      <c r="J30">
        <v>0</v>
      </c>
    </row>
    <row r="31" spans="1:10" x14ac:dyDescent="0.25">
      <c r="A31">
        <v>1030</v>
      </c>
      <c r="B31" t="s">
        <v>104</v>
      </c>
      <c r="C31">
        <v>18</v>
      </c>
      <c r="D31" t="s">
        <v>49</v>
      </c>
      <c r="E31">
        <v>45911</v>
      </c>
      <c r="F31">
        <v>45570</v>
      </c>
      <c r="G31" t="s">
        <v>105</v>
      </c>
      <c r="H31" t="s">
        <v>18</v>
      </c>
      <c r="I31" t="s">
        <v>106</v>
      </c>
      <c r="J31" t="s">
        <v>57</v>
      </c>
    </row>
    <row r="32" spans="1:10" x14ac:dyDescent="0.25">
      <c r="A32">
        <v>1043</v>
      </c>
      <c r="B32" t="s">
        <v>107</v>
      </c>
      <c r="C32">
        <v>82</v>
      </c>
      <c r="D32" t="s">
        <v>37</v>
      </c>
      <c r="E32">
        <v>46006</v>
      </c>
      <c r="F32">
        <v>45859</v>
      </c>
      <c r="G32" t="s">
        <v>108</v>
      </c>
      <c r="H32" t="s">
        <v>28</v>
      </c>
      <c r="I32" t="s">
        <v>109</v>
      </c>
      <c r="J32" t="s">
        <v>30</v>
      </c>
    </row>
    <row r="33" spans="1:10" x14ac:dyDescent="0.25">
      <c r="A33">
        <v>1056</v>
      </c>
      <c r="B33" t="s">
        <v>110</v>
      </c>
      <c r="C33">
        <v>67</v>
      </c>
      <c r="D33" t="s">
        <v>11</v>
      </c>
      <c r="E33">
        <v>45913</v>
      </c>
      <c r="F33">
        <v>45664</v>
      </c>
      <c r="G33" t="s">
        <v>111</v>
      </c>
      <c r="H33" t="s">
        <v>18</v>
      </c>
      <c r="I33" t="s">
        <v>112</v>
      </c>
      <c r="J33" t="s">
        <v>35</v>
      </c>
    </row>
    <row r="34" spans="1:10" x14ac:dyDescent="0.25">
      <c r="A34">
        <v>1094</v>
      </c>
      <c r="B34" t="s">
        <v>113</v>
      </c>
      <c r="C34">
        <v>32</v>
      </c>
      <c r="D34" t="s">
        <v>49</v>
      </c>
      <c r="E34">
        <v>46090</v>
      </c>
      <c r="F34">
        <v>45610</v>
      </c>
      <c r="G34" t="s">
        <v>114</v>
      </c>
      <c r="H34" t="s">
        <v>28</v>
      </c>
      <c r="I34" t="s">
        <v>115</v>
      </c>
      <c r="J34">
        <v>0</v>
      </c>
    </row>
    <row r="35" spans="1:10" x14ac:dyDescent="0.25">
      <c r="A35">
        <v>1041</v>
      </c>
      <c r="B35" t="s">
        <v>116</v>
      </c>
      <c r="C35">
        <v>20</v>
      </c>
      <c r="D35" t="s">
        <v>49</v>
      </c>
      <c r="E35">
        <v>45784</v>
      </c>
      <c r="F35">
        <v>45676</v>
      </c>
      <c r="G35" t="s">
        <v>117</v>
      </c>
      <c r="H35" t="s">
        <v>24</v>
      </c>
      <c r="J35" t="s">
        <v>20</v>
      </c>
    </row>
    <row r="36" spans="1:10" x14ac:dyDescent="0.25">
      <c r="A36">
        <v>1071</v>
      </c>
      <c r="B36" t="s">
        <v>118</v>
      </c>
      <c r="C36">
        <v>46</v>
      </c>
      <c r="D36">
        <v>0</v>
      </c>
      <c r="E36">
        <v>46032</v>
      </c>
      <c r="F36">
        <v>45597</v>
      </c>
      <c r="G36" t="s">
        <v>119</v>
      </c>
      <c r="H36" t="s">
        <v>28</v>
      </c>
      <c r="I36" t="s">
        <v>120</v>
      </c>
      <c r="J36" t="s">
        <v>30</v>
      </c>
    </row>
    <row r="37" spans="1:10" x14ac:dyDescent="0.25">
      <c r="A37">
        <v>1051</v>
      </c>
      <c r="B37" t="s">
        <v>121</v>
      </c>
      <c r="C37">
        <v>26</v>
      </c>
      <c r="D37" t="s">
        <v>68</v>
      </c>
      <c r="E37">
        <v>45815</v>
      </c>
      <c r="F37">
        <v>45635</v>
      </c>
      <c r="G37" t="s">
        <v>122</v>
      </c>
      <c r="H37" t="s">
        <v>18</v>
      </c>
      <c r="I37">
        <v>340.25</v>
      </c>
      <c r="J37" t="s">
        <v>35</v>
      </c>
    </row>
    <row r="38" spans="1:10" x14ac:dyDescent="0.25">
      <c r="A38">
        <v>1003</v>
      </c>
      <c r="B38" t="s">
        <v>123</v>
      </c>
      <c r="C38">
        <v>19</v>
      </c>
      <c r="E38">
        <v>45946</v>
      </c>
      <c r="F38">
        <v>45921</v>
      </c>
      <c r="G38" t="s">
        <v>124</v>
      </c>
      <c r="H38" t="s">
        <v>24</v>
      </c>
      <c r="I38">
        <v>481.44</v>
      </c>
      <c r="J38">
        <v>0</v>
      </c>
    </row>
    <row r="39" spans="1:10" x14ac:dyDescent="0.25">
      <c r="A39">
        <v>1053</v>
      </c>
      <c r="B39" t="s">
        <v>125</v>
      </c>
      <c r="C39">
        <v>37</v>
      </c>
      <c r="D39">
        <v>1</v>
      </c>
      <c r="E39">
        <v>45915</v>
      </c>
      <c r="F39">
        <v>45421</v>
      </c>
      <c r="G39" t="s">
        <v>126</v>
      </c>
      <c r="H39" t="s">
        <v>18</v>
      </c>
      <c r="I39">
        <v>442.77</v>
      </c>
      <c r="J39">
        <v>0</v>
      </c>
    </row>
    <row r="40" spans="1:10" x14ac:dyDescent="0.25">
      <c r="A40">
        <v>1052</v>
      </c>
      <c r="B40" t="s">
        <v>127</v>
      </c>
      <c r="C40">
        <v>84</v>
      </c>
      <c r="D40">
        <v>0</v>
      </c>
      <c r="E40">
        <v>45908</v>
      </c>
      <c r="F40">
        <v>45793</v>
      </c>
      <c r="G40" t="s">
        <v>128</v>
      </c>
      <c r="H40" t="s">
        <v>18</v>
      </c>
      <c r="I40" t="s">
        <v>129</v>
      </c>
      <c r="J40">
        <v>0</v>
      </c>
    </row>
    <row r="41" spans="1:10" x14ac:dyDescent="0.25">
      <c r="A41">
        <v>1018</v>
      </c>
      <c r="B41" t="s">
        <v>130</v>
      </c>
      <c r="C41">
        <v>55</v>
      </c>
      <c r="D41" t="s">
        <v>16</v>
      </c>
      <c r="E41">
        <v>46082</v>
      </c>
      <c r="F41">
        <v>45446</v>
      </c>
      <c r="G41" t="s">
        <v>131</v>
      </c>
      <c r="H41" t="s">
        <v>24</v>
      </c>
      <c r="I41" t="s">
        <v>132</v>
      </c>
      <c r="J41">
        <v>0</v>
      </c>
    </row>
    <row r="42" spans="1:10" x14ac:dyDescent="0.25">
      <c r="A42">
        <v>1001</v>
      </c>
      <c r="B42" t="s">
        <v>133</v>
      </c>
      <c r="C42">
        <v>50</v>
      </c>
      <c r="D42" t="s">
        <v>68</v>
      </c>
      <c r="E42">
        <v>45886</v>
      </c>
      <c r="F42">
        <v>45558</v>
      </c>
      <c r="G42" t="s">
        <v>134</v>
      </c>
      <c r="H42" t="s">
        <v>18</v>
      </c>
      <c r="I42">
        <v>268.14</v>
      </c>
      <c r="J42" t="s">
        <v>35</v>
      </c>
    </row>
    <row r="43" spans="1:10" x14ac:dyDescent="0.25">
      <c r="A43">
        <v>1060</v>
      </c>
      <c r="B43" t="s">
        <v>135</v>
      </c>
      <c r="C43">
        <v>61</v>
      </c>
      <c r="D43">
        <v>1</v>
      </c>
      <c r="E43">
        <v>45980</v>
      </c>
      <c r="F43">
        <v>45410</v>
      </c>
      <c r="G43" t="s">
        <v>136</v>
      </c>
      <c r="H43" t="s">
        <v>28</v>
      </c>
      <c r="I43" t="s">
        <v>137</v>
      </c>
      <c r="J43" t="s">
        <v>20</v>
      </c>
    </row>
    <row r="44" spans="1:10" x14ac:dyDescent="0.25">
      <c r="A44">
        <v>1055</v>
      </c>
      <c r="B44" t="s">
        <v>138</v>
      </c>
      <c r="C44">
        <v>35</v>
      </c>
      <c r="D44" t="s">
        <v>68</v>
      </c>
      <c r="E44">
        <v>45801</v>
      </c>
      <c r="F44">
        <v>45491</v>
      </c>
      <c r="G44" t="s">
        <v>139</v>
      </c>
      <c r="H44" t="s">
        <v>18</v>
      </c>
      <c r="I44" t="s">
        <v>140</v>
      </c>
      <c r="J44">
        <v>1</v>
      </c>
    </row>
    <row r="45" spans="1:10" x14ac:dyDescent="0.25">
      <c r="A45">
        <v>1063</v>
      </c>
      <c r="B45" t="s">
        <v>141</v>
      </c>
      <c r="C45">
        <v>29</v>
      </c>
      <c r="E45">
        <v>45916</v>
      </c>
      <c r="F45">
        <v>45776</v>
      </c>
      <c r="G45" t="s">
        <v>142</v>
      </c>
      <c r="H45" t="s">
        <v>18</v>
      </c>
      <c r="I45" t="s">
        <v>143</v>
      </c>
      <c r="J45">
        <v>0</v>
      </c>
    </row>
    <row r="46" spans="1:10" x14ac:dyDescent="0.25">
      <c r="A46">
        <v>1069</v>
      </c>
      <c r="B46" t="s">
        <v>144</v>
      </c>
      <c r="C46">
        <v>72</v>
      </c>
      <c r="D46">
        <v>0</v>
      </c>
      <c r="E46">
        <v>45880</v>
      </c>
      <c r="F46">
        <v>45383</v>
      </c>
      <c r="G46" t="s">
        <v>145</v>
      </c>
      <c r="H46" t="s">
        <v>24</v>
      </c>
      <c r="I46" t="s">
        <v>146</v>
      </c>
      <c r="J46" t="s">
        <v>20</v>
      </c>
    </row>
    <row r="47" spans="1:10" x14ac:dyDescent="0.25">
      <c r="A47">
        <v>1095</v>
      </c>
      <c r="B47" t="s">
        <v>147</v>
      </c>
      <c r="C47">
        <v>29</v>
      </c>
      <c r="D47">
        <v>0</v>
      </c>
      <c r="E47">
        <v>45891</v>
      </c>
      <c r="F47">
        <v>45772</v>
      </c>
      <c r="G47" t="s">
        <v>148</v>
      </c>
      <c r="H47" t="s">
        <v>24</v>
      </c>
      <c r="I47" t="s">
        <v>149</v>
      </c>
      <c r="J47" t="s">
        <v>35</v>
      </c>
    </row>
    <row r="48" spans="1:10" x14ac:dyDescent="0.25">
      <c r="A48">
        <v>1005</v>
      </c>
      <c r="B48" t="s">
        <v>150</v>
      </c>
      <c r="C48">
        <v>49</v>
      </c>
      <c r="D48">
        <v>1</v>
      </c>
      <c r="E48">
        <v>45820</v>
      </c>
      <c r="F48">
        <v>45515</v>
      </c>
      <c r="G48" t="s">
        <v>151</v>
      </c>
      <c r="H48" t="s">
        <v>13</v>
      </c>
      <c r="I48" t="s">
        <v>152</v>
      </c>
      <c r="J48" t="s">
        <v>57</v>
      </c>
    </row>
    <row r="49" spans="1:10" x14ac:dyDescent="0.25">
      <c r="A49">
        <v>1001</v>
      </c>
      <c r="B49" t="s">
        <v>153</v>
      </c>
      <c r="C49">
        <v>64</v>
      </c>
      <c r="D49" t="s">
        <v>11</v>
      </c>
      <c r="E49">
        <v>45867</v>
      </c>
      <c r="F49">
        <v>45451</v>
      </c>
      <c r="G49" t="s">
        <v>154</v>
      </c>
      <c r="H49" t="s">
        <v>18</v>
      </c>
      <c r="I49" t="s">
        <v>155</v>
      </c>
      <c r="J49" t="s">
        <v>57</v>
      </c>
    </row>
    <row r="50" spans="1:10" x14ac:dyDescent="0.25">
      <c r="A50">
        <v>1024</v>
      </c>
      <c r="B50" t="s">
        <v>156</v>
      </c>
      <c r="C50">
        <v>34</v>
      </c>
      <c r="D50" t="s">
        <v>37</v>
      </c>
      <c r="E50">
        <v>45931</v>
      </c>
      <c r="F50">
        <v>45578</v>
      </c>
      <c r="G50" t="s">
        <v>157</v>
      </c>
      <c r="H50" t="s">
        <v>18</v>
      </c>
      <c r="I50" t="s">
        <v>158</v>
      </c>
      <c r="J50" t="s">
        <v>30</v>
      </c>
    </row>
    <row r="51" spans="1:10" x14ac:dyDescent="0.25">
      <c r="A51">
        <v>1016</v>
      </c>
      <c r="B51" t="s">
        <v>159</v>
      </c>
      <c r="C51">
        <v>35</v>
      </c>
      <c r="D51">
        <v>0</v>
      </c>
      <c r="E51">
        <v>46021</v>
      </c>
      <c r="F51">
        <v>45747</v>
      </c>
      <c r="G51" t="s">
        <v>160</v>
      </c>
      <c r="H51" t="s">
        <v>18</v>
      </c>
      <c r="I51" t="s">
        <v>161</v>
      </c>
      <c r="J51">
        <v>1</v>
      </c>
    </row>
    <row r="52" spans="1:10" x14ac:dyDescent="0.25">
      <c r="A52">
        <v>1040</v>
      </c>
      <c r="B52" t="s">
        <v>162</v>
      </c>
      <c r="C52">
        <v>26</v>
      </c>
      <c r="D52" t="s">
        <v>49</v>
      </c>
      <c r="E52">
        <v>45883</v>
      </c>
      <c r="F52">
        <v>45446</v>
      </c>
      <c r="G52" t="s">
        <v>163</v>
      </c>
      <c r="H52" t="s">
        <v>13</v>
      </c>
      <c r="I52" t="s">
        <v>164</v>
      </c>
      <c r="J52" t="s">
        <v>35</v>
      </c>
    </row>
    <row r="53" spans="1:10" x14ac:dyDescent="0.25">
      <c r="A53">
        <v>1042</v>
      </c>
      <c r="B53" t="s">
        <v>165</v>
      </c>
      <c r="C53">
        <v>30</v>
      </c>
      <c r="D53">
        <v>1</v>
      </c>
      <c r="E53">
        <v>45996</v>
      </c>
      <c r="F53">
        <v>45538</v>
      </c>
      <c r="G53" t="s">
        <v>166</v>
      </c>
      <c r="H53" t="s">
        <v>24</v>
      </c>
      <c r="I53" t="s">
        <v>167</v>
      </c>
      <c r="J53" t="s">
        <v>20</v>
      </c>
    </row>
    <row r="54" spans="1:10" x14ac:dyDescent="0.25">
      <c r="A54">
        <v>1015</v>
      </c>
      <c r="B54" t="s">
        <v>168</v>
      </c>
      <c r="C54">
        <v>66</v>
      </c>
      <c r="D54" t="s">
        <v>68</v>
      </c>
      <c r="E54">
        <v>46050</v>
      </c>
      <c r="F54">
        <v>45783</v>
      </c>
      <c r="G54" t="s">
        <v>169</v>
      </c>
      <c r="H54" t="s">
        <v>24</v>
      </c>
      <c r="I54">
        <v>367.06</v>
      </c>
      <c r="J54">
        <v>0</v>
      </c>
    </row>
    <row r="55" spans="1:10" x14ac:dyDescent="0.25">
      <c r="A55">
        <v>1053</v>
      </c>
      <c r="B55" t="s">
        <v>170</v>
      </c>
      <c r="C55">
        <v>49</v>
      </c>
      <c r="D55" t="s">
        <v>49</v>
      </c>
      <c r="E55">
        <v>45875</v>
      </c>
      <c r="F55">
        <v>45739</v>
      </c>
      <c r="G55" t="s">
        <v>171</v>
      </c>
      <c r="H55" t="s">
        <v>24</v>
      </c>
      <c r="I55" t="s">
        <v>172</v>
      </c>
      <c r="J55">
        <v>1</v>
      </c>
    </row>
    <row r="56" spans="1:10" x14ac:dyDescent="0.25">
      <c r="A56">
        <v>1063</v>
      </c>
      <c r="B56" t="s">
        <v>173</v>
      </c>
      <c r="C56">
        <v>62</v>
      </c>
      <c r="D56" t="s">
        <v>37</v>
      </c>
      <c r="E56">
        <v>46032</v>
      </c>
      <c r="F56">
        <v>45637</v>
      </c>
      <c r="G56" t="s">
        <v>174</v>
      </c>
      <c r="H56" t="s">
        <v>24</v>
      </c>
      <c r="I56" t="s">
        <v>175</v>
      </c>
      <c r="J56">
        <v>0</v>
      </c>
    </row>
    <row r="57" spans="1:10" x14ac:dyDescent="0.25">
      <c r="A57">
        <v>1068</v>
      </c>
      <c r="B57" t="s">
        <v>176</v>
      </c>
      <c r="C57">
        <v>63</v>
      </c>
      <c r="D57" t="s">
        <v>16</v>
      </c>
      <c r="E57">
        <v>45970</v>
      </c>
      <c r="F57">
        <v>45910</v>
      </c>
      <c r="G57" t="s">
        <v>177</v>
      </c>
      <c r="H57" t="s">
        <v>18</v>
      </c>
      <c r="I57">
        <v>169.25</v>
      </c>
      <c r="J57" t="s">
        <v>35</v>
      </c>
    </row>
    <row r="58" spans="1:10" x14ac:dyDescent="0.25">
      <c r="A58">
        <v>1006</v>
      </c>
      <c r="B58" t="s">
        <v>178</v>
      </c>
      <c r="C58">
        <v>48</v>
      </c>
      <c r="D58">
        <v>0</v>
      </c>
      <c r="E58">
        <v>45847</v>
      </c>
      <c r="F58">
        <v>45750</v>
      </c>
      <c r="G58" t="s">
        <v>179</v>
      </c>
      <c r="H58" t="s">
        <v>24</v>
      </c>
      <c r="I58">
        <v>274.81</v>
      </c>
      <c r="J58">
        <v>1</v>
      </c>
    </row>
    <row r="59" spans="1:10" x14ac:dyDescent="0.25">
      <c r="A59">
        <v>1047</v>
      </c>
      <c r="B59" t="s">
        <v>180</v>
      </c>
      <c r="C59">
        <v>87</v>
      </c>
      <c r="D59" t="s">
        <v>49</v>
      </c>
      <c r="E59">
        <v>45874</v>
      </c>
      <c r="F59">
        <v>45691</v>
      </c>
      <c r="G59" t="s">
        <v>181</v>
      </c>
      <c r="H59" t="s">
        <v>18</v>
      </c>
      <c r="I59" t="s">
        <v>182</v>
      </c>
      <c r="J59">
        <v>1</v>
      </c>
    </row>
    <row r="60" spans="1:10" x14ac:dyDescent="0.25">
      <c r="A60">
        <v>1095</v>
      </c>
      <c r="B60" t="s">
        <v>183</v>
      </c>
      <c r="C60">
        <v>58</v>
      </c>
      <c r="D60" t="s">
        <v>11</v>
      </c>
      <c r="E60">
        <v>45812</v>
      </c>
      <c r="F60">
        <v>45683</v>
      </c>
      <c r="G60" t="s">
        <v>184</v>
      </c>
      <c r="H60" t="s">
        <v>24</v>
      </c>
      <c r="I60" t="s">
        <v>185</v>
      </c>
      <c r="J60">
        <v>0</v>
      </c>
    </row>
    <row r="61" spans="1:10" x14ac:dyDescent="0.25">
      <c r="A61">
        <v>1009</v>
      </c>
      <c r="B61" t="s">
        <v>186</v>
      </c>
      <c r="C61">
        <v>63</v>
      </c>
      <c r="D61" t="s">
        <v>68</v>
      </c>
      <c r="E61">
        <v>45877</v>
      </c>
      <c r="F61">
        <v>45801</v>
      </c>
      <c r="G61" t="s">
        <v>187</v>
      </c>
      <c r="H61" t="s">
        <v>28</v>
      </c>
      <c r="I61">
        <v>466.97</v>
      </c>
      <c r="J61" t="s">
        <v>35</v>
      </c>
    </row>
    <row r="62" spans="1:10" x14ac:dyDescent="0.25">
      <c r="A62">
        <v>1078</v>
      </c>
      <c r="B62" t="s">
        <v>188</v>
      </c>
      <c r="C62">
        <v>54</v>
      </c>
      <c r="D62">
        <v>0</v>
      </c>
      <c r="E62">
        <v>46000</v>
      </c>
      <c r="F62">
        <v>45850</v>
      </c>
      <c r="G62" t="s">
        <v>189</v>
      </c>
      <c r="H62" t="s">
        <v>28</v>
      </c>
      <c r="I62" t="s">
        <v>190</v>
      </c>
      <c r="J62" t="s">
        <v>30</v>
      </c>
    </row>
    <row r="63" spans="1:10" x14ac:dyDescent="0.25">
      <c r="A63">
        <v>1019</v>
      </c>
      <c r="B63" t="s">
        <v>191</v>
      </c>
      <c r="C63">
        <v>35</v>
      </c>
      <c r="D63" t="s">
        <v>16</v>
      </c>
      <c r="E63">
        <v>45985</v>
      </c>
      <c r="F63">
        <v>45601</v>
      </c>
      <c r="G63" t="s">
        <v>192</v>
      </c>
      <c r="H63" t="s">
        <v>18</v>
      </c>
      <c r="I63" t="s">
        <v>193</v>
      </c>
      <c r="J63" t="s">
        <v>35</v>
      </c>
    </row>
    <row r="64" spans="1:10" x14ac:dyDescent="0.25">
      <c r="A64">
        <v>1021</v>
      </c>
      <c r="B64" t="s">
        <v>194</v>
      </c>
      <c r="C64">
        <v>39</v>
      </c>
      <c r="D64" t="s">
        <v>22</v>
      </c>
      <c r="E64">
        <v>45836</v>
      </c>
      <c r="F64">
        <v>45378</v>
      </c>
      <c r="G64" t="s">
        <v>195</v>
      </c>
      <c r="H64" t="s">
        <v>28</v>
      </c>
      <c r="I64" t="s">
        <v>196</v>
      </c>
      <c r="J64">
        <v>1</v>
      </c>
    </row>
    <row r="65" spans="1:10" x14ac:dyDescent="0.25">
      <c r="A65">
        <v>1018</v>
      </c>
      <c r="B65" t="s">
        <v>197</v>
      </c>
      <c r="C65">
        <v>78</v>
      </c>
      <c r="D65">
        <v>1</v>
      </c>
      <c r="E65">
        <v>45869</v>
      </c>
      <c r="F65">
        <v>45832</v>
      </c>
      <c r="G65" t="s">
        <v>198</v>
      </c>
      <c r="H65" t="s">
        <v>28</v>
      </c>
      <c r="I65">
        <v>149.80000000000001</v>
      </c>
      <c r="J65">
        <v>1</v>
      </c>
    </row>
    <row r="66" spans="1:10" x14ac:dyDescent="0.25">
      <c r="A66">
        <v>1077</v>
      </c>
      <c r="B66" t="s">
        <v>199</v>
      </c>
      <c r="C66">
        <v>34</v>
      </c>
      <c r="E66">
        <v>45837</v>
      </c>
      <c r="F66">
        <v>45630</v>
      </c>
      <c r="G66" t="s">
        <v>200</v>
      </c>
      <c r="H66" t="s">
        <v>24</v>
      </c>
      <c r="I66" t="s">
        <v>201</v>
      </c>
      <c r="J66" t="s">
        <v>57</v>
      </c>
    </row>
    <row r="67" spans="1:10" x14ac:dyDescent="0.25">
      <c r="A67">
        <v>1063</v>
      </c>
      <c r="B67" t="s">
        <v>202</v>
      </c>
      <c r="C67">
        <v>21</v>
      </c>
      <c r="D67" t="s">
        <v>49</v>
      </c>
      <c r="E67">
        <v>45973</v>
      </c>
      <c r="F67">
        <v>45838</v>
      </c>
      <c r="G67" t="s">
        <v>203</v>
      </c>
      <c r="H67" t="s">
        <v>24</v>
      </c>
      <c r="I67">
        <v>186.24</v>
      </c>
      <c r="J67" t="s">
        <v>35</v>
      </c>
    </row>
    <row r="68" spans="1:10" x14ac:dyDescent="0.25">
      <c r="A68">
        <v>1015</v>
      </c>
      <c r="B68" t="s">
        <v>204</v>
      </c>
      <c r="C68">
        <v>37</v>
      </c>
      <c r="D68">
        <v>0</v>
      </c>
      <c r="E68">
        <v>45857</v>
      </c>
      <c r="F68">
        <v>45453</v>
      </c>
      <c r="G68" t="s">
        <v>205</v>
      </c>
      <c r="H68" t="s">
        <v>18</v>
      </c>
      <c r="I68" t="s">
        <v>206</v>
      </c>
      <c r="J68" t="s">
        <v>30</v>
      </c>
    </row>
    <row r="69" spans="1:10" x14ac:dyDescent="0.25">
      <c r="A69">
        <v>1068</v>
      </c>
      <c r="B69" t="s">
        <v>207</v>
      </c>
      <c r="C69">
        <v>60</v>
      </c>
      <c r="D69">
        <v>1</v>
      </c>
      <c r="E69">
        <v>46072</v>
      </c>
      <c r="F69">
        <v>45609</v>
      </c>
      <c r="G69" t="s">
        <v>208</v>
      </c>
      <c r="H69" t="s">
        <v>24</v>
      </c>
      <c r="I69" t="s">
        <v>209</v>
      </c>
      <c r="J69">
        <v>1</v>
      </c>
    </row>
    <row r="70" spans="1:10" x14ac:dyDescent="0.25">
      <c r="A70">
        <v>1010</v>
      </c>
      <c r="B70" t="s">
        <v>210</v>
      </c>
      <c r="C70">
        <v>38</v>
      </c>
      <c r="D70" t="s">
        <v>37</v>
      </c>
      <c r="E70">
        <v>46064</v>
      </c>
      <c r="F70">
        <v>45928</v>
      </c>
      <c r="G70" t="s">
        <v>211</v>
      </c>
      <c r="H70" t="s">
        <v>18</v>
      </c>
      <c r="I70" t="s">
        <v>212</v>
      </c>
      <c r="J70" t="s">
        <v>57</v>
      </c>
    </row>
    <row r="71" spans="1:10" x14ac:dyDescent="0.25">
      <c r="A71">
        <v>1034</v>
      </c>
      <c r="B71" t="s">
        <v>213</v>
      </c>
      <c r="C71">
        <v>68</v>
      </c>
      <c r="D71" t="s">
        <v>68</v>
      </c>
      <c r="E71">
        <v>45843</v>
      </c>
      <c r="F71">
        <v>45680</v>
      </c>
      <c r="G71" t="s">
        <v>214</v>
      </c>
      <c r="H71" t="s">
        <v>24</v>
      </c>
      <c r="I71" t="s">
        <v>215</v>
      </c>
      <c r="J71" t="s">
        <v>57</v>
      </c>
    </row>
    <row r="72" spans="1:10" x14ac:dyDescent="0.25">
      <c r="A72">
        <v>1095</v>
      </c>
      <c r="B72" t="s">
        <v>216</v>
      </c>
      <c r="C72">
        <v>86</v>
      </c>
      <c r="E72">
        <v>45833</v>
      </c>
      <c r="F72">
        <v>45406</v>
      </c>
      <c r="G72" t="s">
        <v>217</v>
      </c>
      <c r="H72" t="s">
        <v>13</v>
      </c>
      <c r="I72" t="s">
        <v>218</v>
      </c>
      <c r="J72" t="s">
        <v>35</v>
      </c>
    </row>
    <row r="73" spans="1:10" x14ac:dyDescent="0.25">
      <c r="A73">
        <v>1070</v>
      </c>
      <c r="B73" t="s">
        <v>219</v>
      </c>
      <c r="C73">
        <v>85</v>
      </c>
      <c r="D73">
        <v>1</v>
      </c>
      <c r="E73">
        <v>45910</v>
      </c>
      <c r="F73">
        <v>45524</v>
      </c>
      <c r="G73" t="s">
        <v>220</v>
      </c>
      <c r="H73" t="s">
        <v>24</v>
      </c>
      <c r="I73">
        <v>185.52</v>
      </c>
      <c r="J73" t="s">
        <v>30</v>
      </c>
    </row>
    <row r="74" spans="1:10" x14ac:dyDescent="0.25">
      <c r="A74">
        <v>1099</v>
      </c>
      <c r="B74" t="s">
        <v>221</v>
      </c>
      <c r="C74">
        <v>28</v>
      </c>
      <c r="D74" t="s">
        <v>16</v>
      </c>
      <c r="E74">
        <v>45859</v>
      </c>
      <c r="F74">
        <v>45852</v>
      </c>
      <c r="G74" t="s">
        <v>222</v>
      </c>
      <c r="H74" t="s">
        <v>24</v>
      </c>
      <c r="I74" t="s">
        <v>223</v>
      </c>
      <c r="J74" t="s">
        <v>20</v>
      </c>
    </row>
    <row r="75" spans="1:10" x14ac:dyDescent="0.25">
      <c r="A75">
        <v>1022</v>
      </c>
      <c r="B75" t="s">
        <v>224</v>
      </c>
      <c r="C75">
        <v>23</v>
      </c>
      <c r="D75" t="s">
        <v>37</v>
      </c>
      <c r="E75">
        <v>46072</v>
      </c>
      <c r="F75">
        <v>45551</v>
      </c>
      <c r="G75" t="s">
        <v>225</v>
      </c>
      <c r="H75" t="s">
        <v>18</v>
      </c>
      <c r="I75">
        <v>382.34</v>
      </c>
      <c r="J75" t="s">
        <v>35</v>
      </c>
    </row>
    <row r="76" spans="1:10" x14ac:dyDescent="0.25">
      <c r="A76">
        <v>1095</v>
      </c>
      <c r="B76" t="s">
        <v>226</v>
      </c>
      <c r="C76">
        <v>86</v>
      </c>
      <c r="D76" t="s">
        <v>16</v>
      </c>
      <c r="E76">
        <v>45952</v>
      </c>
      <c r="F76">
        <v>45857</v>
      </c>
      <c r="G76" t="s">
        <v>227</v>
      </c>
      <c r="H76" t="s">
        <v>18</v>
      </c>
      <c r="I76" t="s">
        <v>228</v>
      </c>
      <c r="J76" t="s">
        <v>35</v>
      </c>
    </row>
    <row r="77" spans="1:10" x14ac:dyDescent="0.25">
      <c r="A77">
        <v>1061</v>
      </c>
      <c r="B77" t="s">
        <v>229</v>
      </c>
      <c r="C77">
        <v>66</v>
      </c>
      <c r="D77" t="s">
        <v>11</v>
      </c>
      <c r="E77">
        <v>45889</v>
      </c>
      <c r="F77">
        <v>45724</v>
      </c>
      <c r="G77" t="s">
        <v>230</v>
      </c>
      <c r="H77" t="s">
        <v>24</v>
      </c>
      <c r="J77" t="s">
        <v>35</v>
      </c>
    </row>
    <row r="78" spans="1:10" x14ac:dyDescent="0.25">
      <c r="A78">
        <v>1088</v>
      </c>
      <c r="B78" t="s">
        <v>231</v>
      </c>
      <c r="C78">
        <v>22</v>
      </c>
      <c r="D78" t="s">
        <v>49</v>
      </c>
      <c r="E78">
        <v>45963</v>
      </c>
      <c r="F78">
        <v>45771</v>
      </c>
      <c r="G78" t="s">
        <v>232</v>
      </c>
      <c r="H78" t="s">
        <v>28</v>
      </c>
      <c r="I78">
        <v>206.53</v>
      </c>
      <c r="J78">
        <v>1</v>
      </c>
    </row>
    <row r="79" spans="1:10" x14ac:dyDescent="0.25">
      <c r="A79">
        <v>1008</v>
      </c>
      <c r="B79" t="s">
        <v>233</v>
      </c>
      <c r="C79">
        <v>69</v>
      </c>
      <c r="D79" t="s">
        <v>16</v>
      </c>
      <c r="E79">
        <v>45931</v>
      </c>
      <c r="F79">
        <v>45435</v>
      </c>
      <c r="G79" t="s">
        <v>234</v>
      </c>
      <c r="H79" t="s">
        <v>18</v>
      </c>
      <c r="I79">
        <v>258.20999999999998</v>
      </c>
      <c r="J79">
        <v>0</v>
      </c>
    </row>
    <row r="80" spans="1:10" x14ac:dyDescent="0.25">
      <c r="A80">
        <v>1014</v>
      </c>
      <c r="B80" t="s">
        <v>235</v>
      </c>
      <c r="C80">
        <v>26</v>
      </c>
      <c r="D80">
        <v>0</v>
      </c>
      <c r="E80">
        <v>45928</v>
      </c>
      <c r="F80">
        <v>45481</v>
      </c>
      <c r="G80" t="s">
        <v>236</v>
      </c>
      <c r="H80" t="s">
        <v>13</v>
      </c>
      <c r="I80" t="s">
        <v>237</v>
      </c>
      <c r="J80">
        <v>1</v>
      </c>
    </row>
    <row r="81" spans="1:10" x14ac:dyDescent="0.25">
      <c r="A81">
        <v>1005</v>
      </c>
      <c r="B81" t="s">
        <v>238</v>
      </c>
      <c r="C81">
        <v>69</v>
      </c>
      <c r="D81" t="s">
        <v>22</v>
      </c>
      <c r="E81">
        <v>46083</v>
      </c>
      <c r="F81">
        <v>45617</v>
      </c>
      <c r="G81" t="s">
        <v>239</v>
      </c>
      <c r="H81" t="s">
        <v>28</v>
      </c>
      <c r="I81" t="s">
        <v>240</v>
      </c>
      <c r="J81">
        <v>1</v>
      </c>
    </row>
    <row r="82" spans="1:10" x14ac:dyDescent="0.25">
      <c r="A82">
        <v>1098</v>
      </c>
      <c r="B82" t="s">
        <v>241</v>
      </c>
      <c r="C82">
        <v>35</v>
      </c>
      <c r="D82" t="s">
        <v>11</v>
      </c>
      <c r="E82">
        <v>46094</v>
      </c>
      <c r="F82">
        <v>45865</v>
      </c>
      <c r="G82" t="s">
        <v>242</v>
      </c>
      <c r="H82" t="s">
        <v>18</v>
      </c>
      <c r="I82">
        <v>80.38</v>
      </c>
      <c r="J82">
        <v>1</v>
      </c>
    </row>
    <row r="83" spans="1:10" x14ac:dyDescent="0.25">
      <c r="A83">
        <v>1074</v>
      </c>
      <c r="B83" t="s">
        <v>243</v>
      </c>
      <c r="C83">
        <v>23</v>
      </c>
      <c r="D83">
        <v>0</v>
      </c>
      <c r="E83">
        <v>46004</v>
      </c>
      <c r="F83">
        <v>45826</v>
      </c>
      <c r="G83" t="s">
        <v>244</v>
      </c>
      <c r="H83" t="s">
        <v>18</v>
      </c>
      <c r="I83" t="s">
        <v>245</v>
      </c>
      <c r="J83" t="s">
        <v>20</v>
      </c>
    </row>
    <row r="84" spans="1:10" x14ac:dyDescent="0.25">
      <c r="A84">
        <v>1097</v>
      </c>
      <c r="B84" t="s">
        <v>246</v>
      </c>
      <c r="C84">
        <v>50</v>
      </c>
      <c r="D84" t="s">
        <v>22</v>
      </c>
      <c r="E84">
        <v>45984</v>
      </c>
      <c r="F84">
        <v>45924</v>
      </c>
      <c r="G84" t="s">
        <v>247</v>
      </c>
      <c r="H84" t="s">
        <v>18</v>
      </c>
      <c r="I84">
        <v>294.58</v>
      </c>
      <c r="J84">
        <v>1</v>
      </c>
    </row>
    <row r="85" spans="1:10" x14ac:dyDescent="0.25">
      <c r="A85">
        <v>1047</v>
      </c>
      <c r="B85" t="s">
        <v>248</v>
      </c>
      <c r="C85">
        <v>40</v>
      </c>
      <c r="D85" t="s">
        <v>22</v>
      </c>
      <c r="E85">
        <v>46078</v>
      </c>
      <c r="F85">
        <v>45809</v>
      </c>
      <c r="G85" t="s">
        <v>249</v>
      </c>
      <c r="H85" t="s">
        <v>18</v>
      </c>
      <c r="I85">
        <v>247.13</v>
      </c>
      <c r="J85" t="s">
        <v>35</v>
      </c>
    </row>
    <row r="86" spans="1:10" x14ac:dyDescent="0.25">
      <c r="A86">
        <v>1093</v>
      </c>
      <c r="B86" t="s">
        <v>250</v>
      </c>
      <c r="C86">
        <v>55</v>
      </c>
      <c r="E86">
        <v>45942</v>
      </c>
      <c r="F86">
        <v>45889</v>
      </c>
      <c r="G86" t="s">
        <v>251</v>
      </c>
      <c r="H86" t="s">
        <v>24</v>
      </c>
      <c r="I86" t="s">
        <v>252</v>
      </c>
      <c r="J86" t="s">
        <v>30</v>
      </c>
    </row>
    <row r="87" spans="1:10" x14ac:dyDescent="0.25">
      <c r="A87">
        <v>1044</v>
      </c>
      <c r="B87" t="s">
        <v>253</v>
      </c>
      <c r="C87">
        <v>57</v>
      </c>
      <c r="D87">
        <v>0</v>
      </c>
      <c r="E87">
        <v>45786</v>
      </c>
      <c r="F87">
        <v>45644</v>
      </c>
      <c r="G87" t="s">
        <v>254</v>
      </c>
      <c r="H87" t="s">
        <v>18</v>
      </c>
      <c r="I87" t="s">
        <v>255</v>
      </c>
      <c r="J87" t="s">
        <v>57</v>
      </c>
    </row>
    <row r="88" spans="1:10" x14ac:dyDescent="0.25">
      <c r="A88">
        <v>1050</v>
      </c>
      <c r="B88" t="s">
        <v>256</v>
      </c>
      <c r="C88">
        <v>60</v>
      </c>
      <c r="D88">
        <v>1</v>
      </c>
      <c r="E88">
        <v>45933</v>
      </c>
      <c r="F88">
        <v>45895</v>
      </c>
      <c r="G88" t="s">
        <v>257</v>
      </c>
      <c r="H88" t="s">
        <v>28</v>
      </c>
      <c r="I88" t="s">
        <v>258</v>
      </c>
      <c r="J88" t="s">
        <v>20</v>
      </c>
    </row>
    <row r="89" spans="1:10" x14ac:dyDescent="0.25">
      <c r="A89">
        <v>1100</v>
      </c>
      <c r="B89" t="s">
        <v>259</v>
      </c>
      <c r="C89">
        <v>58</v>
      </c>
      <c r="D89" t="s">
        <v>22</v>
      </c>
      <c r="E89">
        <v>45841</v>
      </c>
      <c r="F89">
        <v>45529</v>
      </c>
      <c r="G89" t="s">
        <v>260</v>
      </c>
      <c r="H89" t="s">
        <v>24</v>
      </c>
      <c r="I89" t="s">
        <v>261</v>
      </c>
      <c r="J89" t="s">
        <v>30</v>
      </c>
    </row>
    <row r="90" spans="1:10" x14ac:dyDescent="0.25">
      <c r="A90">
        <v>1095</v>
      </c>
      <c r="B90" t="s">
        <v>262</v>
      </c>
      <c r="C90">
        <v>61</v>
      </c>
      <c r="D90" t="s">
        <v>68</v>
      </c>
      <c r="E90">
        <v>45949</v>
      </c>
      <c r="F90">
        <v>45891</v>
      </c>
      <c r="G90" t="s">
        <v>263</v>
      </c>
      <c r="H90" t="s">
        <v>24</v>
      </c>
      <c r="I90" t="s">
        <v>264</v>
      </c>
      <c r="J90">
        <v>0</v>
      </c>
    </row>
    <row r="91" spans="1:10" x14ac:dyDescent="0.25">
      <c r="A91">
        <v>1088</v>
      </c>
      <c r="B91" t="s">
        <v>265</v>
      </c>
      <c r="C91">
        <v>34</v>
      </c>
      <c r="D91" t="s">
        <v>37</v>
      </c>
      <c r="E91">
        <v>45942</v>
      </c>
      <c r="F91">
        <v>45672</v>
      </c>
      <c r="G91" t="s">
        <v>266</v>
      </c>
      <c r="H91" t="s">
        <v>13</v>
      </c>
      <c r="I91" t="s">
        <v>267</v>
      </c>
      <c r="J91" t="s">
        <v>35</v>
      </c>
    </row>
    <row r="92" spans="1:10" x14ac:dyDescent="0.25">
      <c r="A92">
        <v>1027</v>
      </c>
      <c r="B92" t="s">
        <v>268</v>
      </c>
      <c r="C92">
        <v>35</v>
      </c>
      <c r="D92" t="s">
        <v>22</v>
      </c>
      <c r="E92">
        <v>45923</v>
      </c>
      <c r="F92">
        <v>45488</v>
      </c>
      <c r="G92" t="s">
        <v>269</v>
      </c>
      <c r="H92" t="s">
        <v>18</v>
      </c>
      <c r="I92" t="s">
        <v>270</v>
      </c>
      <c r="J92">
        <v>1</v>
      </c>
    </row>
    <row r="93" spans="1:10" x14ac:dyDescent="0.25">
      <c r="A93">
        <v>1040</v>
      </c>
      <c r="B93" t="s">
        <v>271</v>
      </c>
      <c r="C93">
        <v>62</v>
      </c>
      <c r="E93">
        <v>46020</v>
      </c>
      <c r="F93">
        <v>45425</v>
      </c>
      <c r="G93" t="s">
        <v>272</v>
      </c>
      <c r="H93" t="s">
        <v>13</v>
      </c>
      <c r="I93" t="s">
        <v>273</v>
      </c>
      <c r="J93" t="s">
        <v>35</v>
      </c>
    </row>
    <row r="94" spans="1:10" x14ac:dyDescent="0.25">
      <c r="A94">
        <v>1099</v>
      </c>
      <c r="B94" t="s">
        <v>274</v>
      </c>
      <c r="C94">
        <v>31</v>
      </c>
      <c r="D94" t="s">
        <v>49</v>
      </c>
      <c r="E94">
        <v>45849</v>
      </c>
      <c r="F94">
        <v>45735</v>
      </c>
      <c r="G94" t="s">
        <v>275</v>
      </c>
      <c r="H94" t="s">
        <v>18</v>
      </c>
      <c r="I94" t="s">
        <v>276</v>
      </c>
      <c r="J94" t="s">
        <v>35</v>
      </c>
    </row>
    <row r="95" spans="1:10" x14ac:dyDescent="0.25">
      <c r="A95">
        <v>1070</v>
      </c>
      <c r="B95" t="s">
        <v>277</v>
      </c>
      <c r="C95">
        <v>28</v>
      </c>
      <c r="D95" t="s">
        <v>37</v>
      </c>
      <c r="E95">
        <v>45938</v>
      </c>
      <c r="F95">
        <v>45787</v>
      </c>
      <c r="G95" t="s">
        <v>278</v>
      </c>
      <c r="H95" t="s">
        <v>24</v>
      </c>
      <c r="I95" t="s">
        <v>279</v>
      </c>
      <c r="J95" t="s">
        <v>30</v>
      </c>
    </row>
    <row r="96" spans="1:10" x14ac:dyDescent="0.25">
      <c r="A96">
        <v>1058</v>
      </c>
      <c r="B96" t="s">
        <v>280</v>
      </c>
      <c r="C96">
        <v>18</v>
      </c>
      <c r="D96" t="s">
        <v>37</v>
      </c>
      <c r="E96">
        <v>46057</v>
      </c>
      <c r="F96">
        <v>45636</v>
      </c>
      <c r="G96" t="s">
        <v>281</v>
      </c>
      <c r="H96" t="s">
        <v>28</v>
      </c>
      <c r="I96" t="s">
        <v>282</v>
      </c>
      <c r="J96" t="s">
        <v>30</v>
      </c>
    </row>
    <row r="97" spans="1:10" x14ac:dyDescent="0.25">
      <c r="A97">
        <v>1040</v>
      </c>
      <c r="B97" t="s">
        <v>283</v>
      </c>
      <c r="C97">
        <v>34</v>
      </c>
      <c r="D97">
        <v>0</v>
      </c>
      <c r="E97">
        <v>45961</v>
      </c>
      <c r="F97">
        <v>45735</v>
      </c>
      <c r="G97" t="s">
        <v>284</v>
      </c>
      <c r="H97" t="s">
        <v>24</v>
      </c>
      <c r="I97">
        <v>142.32</v>
      </c>
      <c r="J97">
        <v>0</v>
      </c>
    </row>
    <row r="98" spans="1:10" x14ac:dyDescent="0.25">
      <c r="A98">
        <v>1018</v>
      </c>
      <c r="B98" t="s">
        <v>285</v>
      </c>
      <c r="C98">
        <v>34</v>
      </c>
      <c r="D98" t="s">
        <v>37</v>
      </c>
      <c r="E98">
        <v>46016</v>
      </c>
      <c r="F98">
        <v>45547</v>
      </c>
      <c r="G98" t="s">
        <v>286</v>
      </c>
      <c r="H98" t="s">
        <v>13</v>
      </c>
      <c r="I98" t="s">
        <v>287</v>
      </c>
      <c r="J98" t="s">
        <v>30</v>
      </c>
    </row>
    <row r="99" spans="1:10" x14ac:dyDescent="0.25">
      <c r="A99">
        <v>1052</v>
      </c>
      <c r="B99" t="s">
        <v>288</v>
      </c>
      <c r="C99">
        <v>60</v>
      </c>
      <c r="D99" t="s">
        <v>11</v>
      </c>
      <c r="E99">
        <v>45968</v>
      </c>
      <c r="F99">
        <v>45532</v>
      </c>
      <c r="G99" t="s">
        <v>289</v>
      </c>
      <c r="H99" t="s">
        <v>28</v>
      </c>
      <c r="J99" t="s">
        <v>20</v>
      </c>
    </row>
    <row r="100" spans="1:10" x14ac:dyDescent="0.25">
      <c r="A100">
        <v>1031</v>
      </c>
      <c r="B100" t="s">
        <v>290</v>
      </c>
      <c r="C100">
        <v>65</v>
      </c>
      <c r="D100" t="s">
        <v>37</v>
      </c>
      <c r="E100">
        <v>45816</v>
      </c>
      <c r="F100">
        <v>45671</v>
      </c>
      <c r="G100" t="s">
        <v>291</v>
      </c>
      <c r="H100" t="s">
        <v>28</v>
      </c>
      <c r="I100">
        <v>325.25</v>
      </c>
      <c r="J100">
        <v>0</v>
      </c>
    </row>
    <row r="101" spans="1:10" x14ac:dyDescent="0.25">
      <c r="A101">
        <v>1028</v>
      </c>
      <c r="B101" t="s">
        <v>292</v>
      </c>
      <c r="C101">
        <v>21</v>
      </c>
      <c r="D101" t="s">
        <v>11</v>
      </c>
      <c r="E101">
        <v>45968</v>
      </c>
      <c r="F101">
        <v>45865</v>
      </c>
      <c r="G101" t="s">
        <v>293</v>
      </c>
      <c r="H101" t="s">
        <v>24</v>
      </c>
      <c r="I101" t="s">
        <v>294</v>
      </c>
      <c r="J101" t="s">
        <v>57</v>
      </c>
    </row>
    <row r="102" spans="1:10" x14ac:dyDescent="0.25">
      <c r="A102">
        <v>1089</v>
      </c>
      <c r="B102" t="s">
        <v>295</v>
      </c>
      <c r="C102">
        <v>56</v>
      </c>
      <c r="D102" t="s">
        <v>68</v>
      </c>
      <c r="E102">
        <v>46071</v>
      </c>
      <c r="F102">
        <v>45634</v>
      </c>
      <c r="G102" t="s">
        <v>296</v>
      </c>
      <c r="H102" t="s">
        <v>18</v>
      </c>
      <c r="I102">
        <v>347.68</v>
      </c>
      <c r="J102">
        <v>1</v>
      </c>
    </row>
    <row r="103" spans="1:10" x14ac:dyDescent="0.25">
      <c r="A103">
        <v>1092</v>
      </c>
      <c r="B103" t="s">
        <v>297</v>
      </c>
      <c r="C103">
        <v>40</v>
      </c>
      <c r="D103" t="s">
        <v>11</v>
      </c>
      <c r="E103">
        <v>46063</v>
      </c>
      <c r="F103">
        <v>46009</v>
      </c>
      <c r="G103" t="s">
        <v>298</v>
      </c>
      <c r="H103" t="s">
        <v>24</v>
      </c>
      <c r="I103" t="s">
        <v>299</v>
      </c>
      <c r="J103" t="s">
        <v>35</v>
      </c>
    </row>
    <row r="104" spans="1:10" x14ac:dyDescent="0.25">
      <c r="A104">
        <v>1088</v>
      </c>
      <c r="B104" t="s">
        <v>300</v>
      </c>
      <c r="C104">
        <v>60</v>
      </c>
      <c r="E104">
        <v>46100</v>
      </c>
      <c r="F104">
        <v>45583</v>
      </c>
      <c r="G104" t="s">
        <v>301</v>
      </c>
      <c r="H104" t="s">
        <v>28</v>
      </c>
      <c r="I104" t="s">
        <v>302</v>
      </c>
      <c r="J104" t="s">
        <v>35</v>
      </c>
    </row>
    <row r="105" spans="1:10" x14ac:dyDescent="0.25">
      <c r="A105">
        <v>1058</v>
      </c>
      <c r="B105" t="s">
        <v>303</v>
      </c>
      <c r="C105">
        <v>24</v>
      </c>
      <c r="D105" t="s">
        <v>11</v>
      </c>
      <c r="E105">
        <v>46069</v>
      </c>
      <c r="F105">
        <v>45895</v>
      </c>
      <c r="G105" t="s">
        <v>304</v>
      </c>
      <c r="H105" t="s">
        <v>28</v>
      </c>
      <c r="I105" t="s">
        <v>305</v>
      </c>
      <c r="J105">
        <v>0</v>
      </c>
    </row>
    <row r="106" spans="1:10" x14ac:dyDescent="0.25">
      <c r="A106">
        <v>1078</v>
      </c>
      <c r="B106" t="s">
        <v>306</v>
      </c>
      <c r="C106">
        <v>69</v>
      </c>
      <c r="D106">
        <v>1</v>
      </c>
      <c r="E106">
        <v>45988</v>
      </c>
      <c r="F106">
        <v>45430</v>
      </c>
      <c r="G106" t="s">
        <v>307</v>
      </c>
      <c r="H106" t="s">
        <v>18</v>
      </c>
      <c r="I106" t="s">
        <v>308</v>
      </c>
      <c r="J106" t="s">
        <v>30</v>
      </c>
    </row>
    <row r="107" spans="1:10" x14ac:dyDescent="0.25">
      <c r="A107">
        <v>1027</v>
      </c>
      <c r="B107" t="s">
        <v>309</v>
      </c>
      <c r="C107">
        <v>32</v>
      </c>
      <c r="D107" t="s">
        <v>16</v>
      </c>
      <c r="E107">
        <v>46083</v>
      </c>
      <c r="F107">
        <v>46008</v>
      </c>
      <c r="G107" t="s">
        <v>310</v>
      </c>
      <c r="H107" t="s">
        <v>13</v>
      </c>
      <c r="I107" t="s">
        <v>311</v>
      </c>
      <c r="J107">
        <v>1</v>
      </c>
    </row>
    <row r="108" spans="1:10" x14ac:dyDescent="0.25">
      <c r="A108">
        <v>1062</v>
      </c>
      <c r="B108" t="s">
        <v>312</v>
      </c>
      <c r="C108">
        <v>60</v>
      </c>
      <c r="D108" t="s">
        <v>49</v>
      </c>
      <c r="E108">
        <v>46049</v>
      </c>
      <c r="F108">
        <v>46040</v>
      </c>
      <c r="G108" t="s">
        <v>313</v>
      </c>
      <c r="H108" t="s">
        <v>13</v>
      </c>
      <c r="I108" t="s">
        <v>314</v>
      </c>
      <c r="J108" t="s">
        <v>30</v>
      </c>
    </row>
    <row r="109" spans="1:10" x14ac:dyDescent="0.25">
      <c r="A109">
        <v>1015</v>
      </c>
      <c r="B109" t="s">
        <v>315</v>
      </c>
      <c r="C109">
        <v>68</v>
      </c>
      <c r="D109" t="s">
        <v>16</v>
      </c>
      <c r="E109">
        <v>45998</v>
      </c>
      <c r="F109">
        <v>45740</v>
      </c>
      <c r="G109" t="s">
        <v>316</v>
      </c>
      <c r="H109" t="s">
        <v>18</v>
      </c>
      <c r="I109" t="s">
        <v>317</v>
      </c>
      <c r="J109" t="s">
        <v>20</v>
      </c>
    </row>
    <row r="110" spans="1:10" x14ac:dyDescent="0.25">
      <c r="A110">
        <v>1018</v>
      </c>
      <c r="B110" t="s">
        <v>318</v>
      </c>
      <c r="C110">
        <v>53</v>
      </c>
      <c r="E110">
        <v>45941</v>
      </c>
      <c r="F110">
        <v>45381</v>
      </c>
      <c r="G110" t="s">
        <v>319</v>
      </c>
      <c r="H110" t="s">
        <v>24</v>
      </c>
      <c r="I110">
        <v>277.20999999999998</v>
      </c>
      <c r="J110" t="s">
        <v>35</v>
      </c>
    </row>
    <row r="111" spans="1:10" x14ac:dyDescent="0.25">
      <c r="A111">
        <v>1061</v>
      </c>
      <c r="B111" t="s">
        <v>320</v>
      </c>
      <c r="C111">
        <v>18</v>
      </c>
      <c r="D111" t="s">
        <v>49</v>
      </c>
      <c r="E111">
        <v>46103</v>
      </c>
      <c r="F111">
        <v>45570</v>
      </c>
      <c r="G111" t="s">
        <v>321</v>
      </c>
      <c r="H111" t="s">
        <v>24</v>
      </c>
      <c r="I111" t="s">
        <v>322</v>
      </c>
      <c r="J111" t="s">
        <v>30</v>
      </c>
    </row>
    <row r="112" spans="1:10" x14ac:dyDescent="0.25">
      <c r="A112">
        <v>1013</v>
      </c>
      <c r="B112" t="s">
        <v>323</v>
      </c>
      <c r="C112">
        <v>60</v>
      </c>
      <c r="D112">
        <v>0</v>
      </c>
      <c r="E112">
        <v>45759</v>
      </c>
      <c r="F112">
        <v>45680</v>
      </c>
      <c r="G112" t="s">
        <v>324</v>
      </c>
      <c r="H112" t="s">
        <v>24</v>
      </c>
      <c r="I112" t="s">
        <v>325</v>
      </c>
      <c r="J112" t="s">
        <v>35</v>
      </c>
    </row>
    <row r="113" spans="1:10" x14ac:dyDescent="0.25">
      <c r="A113">
        <v>1087</v>
      </c>
      <c r="B113" t="s">
        <v>326</v>
      </c>
      <c r="C113">
        <v>72</v>
      </c>
      <c r="D113" t="s">
        <v>37</v>
      </c>
      <c r="E113">
        <v>45834</v>
      </c>
      <c r="F113">
        <v>45796</v>
      </c>
      <c r="G113" t="s">
        <v>327</v>
      </c>
      <c r="H113" t="s">
        <v>28</v>
      </c>
      <c r="I113" t="s">
        <v>328</v>
      </c>
      <c r="J113">
        <v>1</v>
      </c>
    </row>
    <row r="114" spans="1:10" x14ac:dyDescent="0.25">
      <c r="A114">
        <v>1090</v>
      </c>
      <c r="B114" t="s">
        <v>329</v>
      </c>
      <c r="C114">
        <v>63</v>
      </c>
      <c r="D114" t="s">
        <v>16</v>
      </c>
      <c r="E114">
        <v>46019</v>
      </c>
      <c r="F114">
        <v>46013</v>
      </c>
      <c r="G114" t="s">
        <v>330</v>
      </c>
      <c r="H114" t="s">
        <v>24</v>
      </c>
      <c r="I114" t="s">
        <v>331</v>
      </c>
      <c r="J114" t="s">
        <v>20</v>
      </c>
    </row>
    <row r="115" spans="1:10" x14ac:dyDescent="0.25">
      <c r="A115">
        <v>1086</v>
      </c>
      <c r="B115" t="s">
        <v>332</v>
      </c>
      <c r="C115">
        <v>80</v>
      </c>
      <c r="D115" t="s">
        <v>37</v>
      </c>
      <c r="E115">
        <v>45992</v>
      </c>
      <c r="F115">
        <v>45593</v>
      </c>
      <c r="G115" t="s">
        <v>333</v>
      </c>
      <c r="H115" t="s">
        <v>18</v>
      </c>
      <c r="I115">
        <v>493</v>
      </c>
      <c r="J115" t="s">
        <v>35</v>
      </c>
    </row>
    <row r="116" spans="1:10" x14ac:dyDescent="0.25">
      <c r="A116">
        <v>1047</v>
      </c>
      <c r="B116" t="s">
        <v>334</v>
      </c>
      <c r="C116">
        <v>39</v>
      </c>
      <c r="D116" t="s">
        <v>22</v>
      </c>
      <c r="E116">
        <v>45983</v>
      </c>
      <c r="F116">
        <v>45610</v>
      </c>
      <c r="G116" t="s">
        <v>335</v>
      </c>
      <c r="H116" t="s">
        <v>24</v>
      </c>
      <c r="I116">
        <v>243.15</v>
      </c>
      <c r="J116">
        <v>0</v>
      </c>
    </row>
    <row r="117" spans="1:10" x14ac:dyDescent="0.25">
      <c r="A117">
        <v>1014</v>
      </c>
      <c r="B117" t="s">
        <v>336</v>
      </c>
      <c r="C117">
        <v>81</v>
      </c>
      <c r="D117" t="s">
        <v>11</v>
      </c>
      <c r="E117">
        <v>45809</v>
      </c>
      <c r="F117">
        <v>45523</v>
      </c>
      <c r="G117" t="s">
        <v>337</v>
      </c>
      <c r="H117" t="s">
        <v>13</v>
      </c>
      <c r="I117" t="s">
        <v>338</v>
      </c>
      <c r="J117" t="s">
        <v>57</v>
      </c>
    </row>
    <row r="118" spans="1:10" x14ac:dyDescent="0.25">
      <c r="A118">
        <v>1047</v>
      </c>
      <c r="B118" t="s">
        <v>339</v>
      </c>
      <c r="C118">
        <v>38</v>
      </c>
      <c r="D118" t="s">
        <v>22</v>
      </c>
      <c r="E118">
        <v>46006</v>
      </c>
      <c r="F118">
        <v>45651</v>
      </c>
      <c r="G118" t="s">
        <v>340</v>
      </c>
      <c r="H118" t="s">
        <v>13</v>
      </c>
      <c r="I118" t="s">
        <v>341</v>
      </c>
      <c r="J118" t="s">
        <v>20</v>
      </c>
    </row>
    <row r="119" spans="1:10" x14ac:dyDescent="0.25">
      <c r="A119">
        <v>1073</v>
      </c>
      <c r="B119" t="s">
        <v>342</v>
      </c>
      <c r="C119">
        <v>38</v>
      </c>
      <c r="D119">
        <v>0</v>
      </c>
      <c r="E119">
        <v>45990</v>
      </c>
      <c r="F119">
        <v>45849</v>
      </c>
      <c r="G119" t="s">
        <v>343</v>
      </c>
      <c r="H119" t="s">
        <v>18</v>
      </c>
      <c r="I119" t="s">
        <v>344</v>
      </c>
      <c r="J119" t="s">
        <v>57</v>
      </c>
    </row>
    <row r="120" spans="1:10" x14ac:dyDescent="0.25">
      <c r="A120">
        <v>1093</v>
      </c>
      <c r="B120" t="s">
        <v>345</v>
      </c>
      <c r="C120">
        <v>79</v>
      </c>
      <c r="D120" t="s">
        <v>11</v>
      </c>
      <c r="E120">
        <v>45745</v>
      </c>
      <c r="F120">
        <v>45470</v>
      </c>
      <c r="G120" t="s">
        <v>346</v>
      </c>
      <c r="H120" t="s">
        <v>18</v>
      </c>
      <c r="I120" t="s">
        <v>347</v>
      </c>
      <c r="J120" t="s">
        <v>20</v>
      </c>
    </row>
    <row r="121" spans="1:10" x14ac:dyDescent="0.25">
      <c r="A121">
        <v>1027</v>
      </c>
      <c r="B121" t="s">
        <v>348</v>
      </c>
      <c r="C121">
        <v>54</v>
      </c>
      <c r="D121" t="s">
        <v>37</v>
      </c>
      <c r="E121">
        <v>46018</v>
      </c>
      <c r="F121">
        <v>45804</v>
      </c>
      <c r="G121" t="s">
        <v>349</v>
      </c>
      <c r="H121" t="s">
        <v>18</v>
      </c>
      <c r="I121">
        <v>412.07</v>
      </c>
      <c r="J121">
        <v>0</v>
      </c>
    </row>
    <row r="122" spans="1:10" x14ac:dyDescent="0.25">
      <c r="A122">
        <v>1037</v>
      </c>
      <c r="B122" t="s">
        <v>350</v>
      </c>
      <c r="C122">
        <v>22</v>
      </c>
      <c r="D122" t="s">
        <v>37</v>
      </c>
      <c r="E122">
        <v>46081</v>
      </c>
      <c r="F122">
        <v>45738</v>
      </c>
      <c r="G122" t="s">
        <v>351</v>
      </c>
      <c r="H122" t="s">
        <v>24</v>
      </c>
      <c r="I122" t="s">
        <v>352</v>
      </c>
      <c r="J122">
        <v>1</v>
      </c>
    </row>
    <row r="123" spans="1:10" x14ac:dyDescent="0.25">
      <c r="A123">
        <v>1021</v>
      </c>
      <c r="B123" t="s">
        <v>353</v>
      </c>
      <c r="C123">
        <v>27</v>
      </c>
      <c r="D123">
        <v>0</v>
      </c>
      <c r="E123">
        <v>45781</v>
      </c>
      <c r="F123">
        <v>45484</v>
      </c>
      <c r="G123" t="s">
        <v>354</v>
      </c>
      <c r="H123" t="s">
        <v>28</v>
      </c>
      <c r="I123">
        <v>486.57</v>
      </c>
      <c r="J123">
        <v>1</v>
      </c>
    </row>
    <row r="124" spans="1:10" x14ac:dyDescent="0.25">
      <c r="A124">
        <v>1007</v>
      </c>
      <c r="B124" t="s">
        <v>355</v>
      </c>
      <c r="C124">
        <v>20</v>
      </c>
      <c r="D124" t="s">
        <v>49</v>
      </c>
      <c r="E124">
        <v>45977</v>
      </c>
      <c r="F124">
        <v>45918</v>
      </c>
      <c r="G124" t="s">
        <v>356</v>
      </c>
      <c r="H124" t="s">
        <v>28</v>
      </c>
      <c r="I124" t="s">
        <v>357</v>
      </c>
      <c r="J124">
        <v>0</v>
      </c>
    </row>
    <row r="125" spans="1:10" x14ac:dyDescent="0.25">
      <c r="A125">
        <v>1043</v>
      </c>
      <c r="B125" t="s">
        <v>358</v>
      </c>
      <c r="C125">
        <v>31</v>
      </c>
      <c r="D125">
        <v>1</v>
      </c>
      <c r="E125">
        <v>45841</v>
      </c>
      <c r="F125">
        <v>45773</v>
      </c>
      <c r="G125" t="s">
        <v>359</v>
      </c>
      <c r="H125" t="s">
        <v>18</v>
      </c>
      <c r="I125" t="s">
        <v>360</v>
      </c>
      <c r="J125" t="s">
        <v>57</v>
      </c>
    </row>
    <row r="126" spans="1:10" x14ac:dyDescent="0.25">
      <c r="A126">
        <v>1081</v>
      </c>
      <c r="B126" t="s">
        <v>361</v>
      </c>
      <c r="C126">
        <v>86</v>
      </c>
      <c r="D126">
        <v>1</v>
      </c>
      <c r="E126">
        <v>45861</v>
      </c>
      <c r="F126">
        <v>45769</v>
      </c>
      <c r="G126" t="s">
        <v>362</v>
      </c>
      <c r="H126" t="s">
        <v>28</v>
      </c>
      <c r="I126" t="s">
        <v>363</v>
      </c>
      <c r="J126" t="s">
        <v>30</v>
      </c>
    </row>
    <row r="127" spans="1:10" x14ac:dyDescent="0.25">
      <c r="A127">
        <v>1053</v>
      </c>
      <c r="B127" t="s">
        <v>364</v>
      </c>
      <c r="C127">
        <v>81</v>
      </c>
      <c r="E127">
        <v>45770</v>
      </c>
      <c r="F127">
        <v>45656</v>
      </c>
      <c r="G127" t="s">
        <v>365</v>
      </c>
      <c r="H127" t="s">
        <v>28</v>
      </c>
      <c r="I127">
        <v>162.94</v>
      </c>
      <c r="J127" t="s">
        <v>57</v>
      </c>
    </row>
    <row r="128" spans="1:10" x14ac:dyDescent="0.25">
      <c r="A128">
        <v>1035</v>
      </c>
      <c r="B128" t="s">
        <v>366</v>
      </c>
      <c r="C128">
        <v>58</v>
      </c>
      <c r="D128" t="s">
        <v>22</v>
      </c>
      <c r="E128">
        <v>46045</v>
      </c>
      <c r="F128">
        <v>45396</v>
      </c>
      <c r="G128" t="s">
        <v>367</v>
      </c>
      <c r="H128" t="s">
        <v>13</v>
      </c>
      <c r="I128" t="s">
        <v>368</v>
      </c>
      <c r="J128" t="s">
        <v>20</v>
      </c>
    </row>
    <row r="129" spans="1:10" x14ac:dyDescent="0.25">
      <c r="A129">
        <v>1036</v>
      </c>
      <c r="B129" t="s">
        <v>369</v>
      </c>
      <c r="C129">
        <v>38</v>
      </c>
      <c r="D129">
        <v>1</v>
      </c>
      <c r="E129">
        <v>45742</v>
      </c>
      <c r="F129">
        <v>45718</v>
      </c>
      <c r="G129" t="s">
        <v>370</v>
      </c>
      <c r="H129" t="s">
        <v>13</v>
      </c>
      <c r="I129" t="s">
        <v>371</v>
      </c>
      <c r="J129" t="s">
        <v>57</v>
      </c>
    </row>
    <row r="130" spans="1:10" x14ac:dyDescent="0.25">
      <c r="A130">
        <v>1052</v>
      </c>
      <c r="B130" t="s">
        <v>372</v>
      </c>
      <c r="C130">
        <v>22</v>
      </c>
      <c r="D130" t="s">
        <v>37</v>
      </c>
      <c r="E130">
        <v>45954</v>
      </c>
      <c r="F130">
        <v>45663</v>
      </c>
      <c r="G130" t="s">
        <v>373</v>
      </c>
      <c r="H130" t="s">
        <v>18</v>
      </c>
      <c r="I130" t="s">
        <v>374</v>
      </c>
      <c r="J130">
        <v>0</v>
      </c>
    </row>
    <row r="131" spans="1:10" x14ac:dyDescent="0.25">
      <c r="A131">
        <v>1058</v>
      </c>
      <c r="B131" t="s">
        <v>375</v>
      </c>
      <c r="C131">
        <v>83</v>
      </c>
      <c r="D131" t="s">
        <v>11</v>
      </c>
      <c r="E131">
        <v>46009</v>
      </c>
      <c r="F131">
        <v>45768</v>
      </c>
      <c r="G131" t="s">
        <v>376</v>
      </c>
      <c r="H131" t="s">
        <v>24</v>
      </c>
      <c r="I131" t="s">
        <v>377</v>
      </c>
      <c r="J131" t="s">
        <v>35</v>
      </c>
    </row>
    <row r="132" spans="1:10" x14ac:dyDescent="0.25">
      <c r="A132">
        <v>1074</v>
      </c>
      <c r="B132" t="s">
        <v>378</v>
      </c>
      <c r="C132">
        <v>19</v>
      </c>
      <c r="D132" t="s">
        <v>16</v>
      </c>
      <c r="E132">
        <v>45771</v>
      </c>
      <c r="F132">
        <v>45573</v>
      </c>
      <c r="G132" t="s">
        <v>379</v>
      </c>
      <c r="H132" t="s">
        <v>24</v>
      </c>
      <c r="I132">
        <v>455.75</v>
      </c>
      <c r="J132">
        <v>0</v>
      </c>
    </row>
    <row r="133" spans="1:10" x14ac:dyDescent="0.25">
      <c r="A133">
        <v>1018</v>
      </c>
      <c r="B133" t="s">
        <v>380</v>
      </c>
      <c r="C133">
        <v>54</v>
      </c>
      <c r="D133" t="s">
        <v>16</v>
      </c>
      <c r="E133">
        <v>46106</v>
      </c>
      <c r="F133">
        <v>45540</v>
      </c>
      <c r="G133" t="s">
        <v>381</v>
      </c>
      <c r="H133" t="s">
        <v>28</v>
      </c>
      <c r="I133" t="s">
        <v>382</v>
      </c>
      <c r="J133">
        <v>1</v>
      </c>
    </row>
    <row r="134" spans="1:10" x14ac:dyDescent="0.25">
      <c r="A134">
        <v>1033</v>
      </c>
      <c r="B134" t="s">
        <v>383</v>
      </c>
      <c r="C134">
        <v>68</v>
      </c>
      <c r="D134" t="s">
        <v>49</v>
      </c>
      <c r="E134">
        <v>45958</v>
      </c>
      <c r="F134">
        <v>45581</v>
      </c>
      <c r="G134" t="s">
        <v>214</v>
      </c>
      <c r="H134" t="s">
        <v>28</v>
      </c>
      <c r="I134">
        <v>468.06</v>
      </c>
      <c r="J134" t="s">
        <v>35</v>
      </c>
    </row>
    <row r="135" spans="1:10" x14ac:dyDescent="0.25">
      <c r="A135">
        <v>1045</v>
      </c>
      <c r="B135" t="s">
        <v>384</v>
      </c>
      <c r="C135">
        <v>55</v>
      </c>
      <c r="D135" t="s">
        <v>37</v>
      </c>
      <c r="E135">
        <v>46024</v>
      </c>
      <c r="F135">
        <v>45393</v>
      </c>
      <c r="G135" t="s">
        <v>385</v>
      </c>
      <c r="H135" t="s">
        <v>28</v>
      </c>
      <c r="I135" t="s">
        <v>386</v>
      </c>
      <c r="J135" t="s">
        <v>35</v>
      </c>
    </row>
    <row r="136" spans="1:10" x14ac:dyDescent="0.25">
      <c r="A136">
        <v>1087</v>
      </c>
      <c r="B136" t="s">
        <v>387</v>
      </c>
      <c r="C136">
        <v>80</v>
      </c>
      <c r="D136">
        <v>1</v>
      </c>
      <c r="E136">
        <v>46029</v>
      </c>
      <c r="F136">
        <v>45438</v>
      </c>
      <c r="G136" t="s">
        <v>388</v>
      </c>
      <c r="H136" t="s">
        <v>24</v>
      </c>
      <c r="I136">
        <v>87.2</v>
      </c>
      <c r="J136" t="s">
        <v>30</v>
      </c>
    </row>
    <row r="137" spans="1:10" x14ac:dyDescent="0.25">
      <c r="A137">
        <v>1043</v>
      </c>
      <c r="B137" t="s">
        <v>389</v>
      </c>
      <c r="C137">
        <v>58</v>
      </c>
      <c r="D137">
        <v>1</v>
      </c>
      <c r="E137">
        <v>45967</v>
      </c>
      <c r="F137">
        <v>45792</v>
      </c>
      <c r="G137" t="s">
        <v>390</v>
      </c>
      <c r="H137" t="s">
        <v>13</v>
      </c>
      <c r="I137">
        <v>226.97</v>
      </c>
      <c r="J137">
        <v>0</v>
      </c>
    </row>
    <row r="138" spans="1:10" x14ac:dyDescent="0.25">
      <c r="A138">
        <v>1020</v>
      </c>
      <c r="B138" t="s">
        <v>391</v>
      </c>
      <c r="C138">
        <v>31</v>
      </c>
      <c r="D138">
        <v>1</v>
      </c>
      <c r="E138">
        <v>45929</v>
      </c>
      <c r="F138">
        <v>45600</v>
      </c>
      <c r="G138" t="s">
        <v>392</v>
      </c>
      <c r="H138" t="s">
        <v>24</v>
      </c>
      <c r="I138" t="s">
        <v>393</v>
      </c>
      <c r="J138" t="s">
        <v>20</v>
      </c>
    </row>
    <row r="139" spans="1:10" x14ac:dyDescent="0.25">
      <c r="A139">
        <v>1089</v>
      </c>
      <c r="B139" t="s">
        <v>394</v>
      </c>
      <c r="C139">
        <v>73</v>
      </c>
      <c r="D139" t="s">
        <v>16</v>
      </c>
      <c r="E139">
        <v>45778</v>
      </c>
      <c r="F139">
        <v>45498</v>
      </c>
      <c r="G139" t="s">
        <v>395</v>
      </c>
      <c r="H139" t="s">
        <v>13</v>
      </c>
      <c r="I139">
        <v>466.08</v>
      </c>
      <c r="J139" t="s">
        <v>57</v>
      </c>
    </row>
    <row r="140" spans="1:10" x14ac:dyDescent="0.25">
      <c r="A140">
        <v>1005</v>
      </c>
      <c r="B140" t="s">
        <v>396</v>
      </c>
      <c r="C140">
        <v>63</v>
      </c>
      <c r="D140">
        <v>1</v>
      </c>
      <c r="E140">
        <v>45921</v>
      </c>
      <c r="F140">
        <v>45601</v>
      </c>
      <c r="G140" t="s">
        <v>397</v>
      </c>
      <c r="H140" t="s">
        <v>13</v>
      </c>
      <c r="I140" t="s">
        <v>398</v>
      </c>
      <c r="J140" t="s">
        <v>20</v>
      </c>
    </row>
    <row r="141" spans="1:10" x14ac:dyDescent="0.25">
      <c r="A141">
        <v>1031</v>
      </c>
      <c r="B141" t="s">
        <v>399</v>
      </c>
      <c r="C141">
        <v>49</v>
      </c>
      <c r="D141" t="s">
        <v>11</v>
      </c>
      <c r="E141">
        <v>46024</v>
      </c>
      <c r="F141">
        <v>45990</v>
      </c>
      <c r="G141" t="s">
        <v>400</v>
      </c>
      <c r="H141" t="s">
        <v>24</v>
      </c>
      <c r="I141">
        <v>461.19</v>
      </c>
      <c r="J141" t="s">
        <v>57</v>
      </c>
    </row>
    <row r="142" spans="1:10" x14ac:dyDescent="0.25">
      <c r="A142">
        <v>1069</v>
      </c>
      <c r="B142" t="s">
        <v>401</v>
      </c>
      <c r="C142">
        <v>60</v>
      </c>
      <c r="D142">
        <v>1</v>
      </c>
      <c r="E142">
        <v>45903</v>
      </c>
      <c r="F142">
        <v>45870</v>
      </c>
      <c r="G142" t="s">
        <v>402</v>
      </c>
      <c r="H142" t="s">
        <v>28</v>
      </c>
      <c r="J142" t="s">
        <v>30</v>
      </c>
    </row>
    <row r="143" spans="1:10" x14ac:dyDescent="0.25">
      <c r="A143">
        <v>1093</v>
      </c>
      <c r="B143" t="s">
        <v>403</v>
      </c>
      <c r="C143">
        <v>77</v>
      </c>
      <c r="D143" t="s">
        <v>37</v>
      </c>
      <c r="E143">
        <v>46042</v>
      </c>
      <c r="F143">
        <v>45386</v>
      </c>
      <c r="G143" t="s">
        <v>404</v>
      </c>
      <c r="H143" t="s">
        <v>24</v>
      </c>
      <c r="I143" t="s">
        <v>405</v>
      </c>
      <c r="J143">
        <v>1</v>
      </c>
    </row>
    <row r="144" spans="1:10" x14ac:dyDescent="0.25">
      <c r="A144">
        <v>1073</v>
      </c>
      <c r="B144" t="s">
        <v>406</v>
      </c>
      <c r="C144">
        <v>29</v>
      </c>
      <c r="D144" t="s">
        <v>68</v>
      </c>
      <c r="E144">
        <v>45865</v>
      </c>
      <c r="F144">
        <v>45816</v>
      </c>
      <c r="G144" t="s">
        <v>407</v>
      </c>
      <c r="H144" t="s">
        <v>28</v>
      </c>
      <c r="I144" t="s">
        <v>408</v>
      </c>
      <c r="J144" t="s">
        <v>20</v>
      </c>
    </row>
    <row r="145" spans="1:10" x14ac:dyDescent="0.25">
      <c r="A145">
        <v>1040</v>
      </c>
      <c r="B145" t="s">
        <v>409</v>
      </c>
      <c r="C145">
        <v>52</v>
      </c>
      <c r="D145" t="s">
        <v>68</v>
      </c>
      <c r="E145">
        <v>45795</v>
      </c>
      <c r="F145">
        <v>45703</v>
      </c>
      <c r="G145" t="s">
        <v>410</v>
      </c>
      <c r="H145" t="s">
        <v>13</v>
      </c>
      <c r="I145">
        <v>130.69999999999999</v>
      </c>
      <c r="J145" t="s">
        <v>57</v>
      </c>
    </row>
    <row r="146" spans="1:10" x14ac:dyDescent="0.25">
      <c r="A146">
        <v>1066</v>
      </c>
      <c r="B146" t="s">
        <v>411</v>
      </c>
      <c r="C146">
        <v>54</v>
      </c>
      <c r="D146" t="s">
        <v>68</v>
      </c>
      <c r="E146">
        <v>45881</v>
      </c>
      <c r="F146">
        <v>45863</v>
      </c>
      <c r="G146" t="s">
        <v>412</v>
      </c>
      <c r="H146" t="s">
        <v>28</v>
      </c>
      <c r="I146" t="s">
        <v>413</v>
      </c>
      <c r="J146">
        <v>1</v>
      </c>
    </row>
    <row r="147" spans="1:10" x14ac:dyDescent="0.25">
      <c r="A147">
        <v>1047</v>
      </c>
      <c r="B147" t="s">
        <v>414</v>
      </c>
      <c r="C147">
        <v>67</v>
      </c>
      <c r="D147">
        <v>0</v>
      </c>
      <c r="E147">
        <v>46063</v>
      </c>
      <c r="F147">
        <v>45464</v>
      </c>
      <c r="G147" t="s">
        <v>415</v>
      </c>
      <c r="H147" t="s">
        <v>18</v>
      </c>
      <c r="J147" t="s">
        <v>57</v>
      </c>
    </row>
    <row r="148" spans="1:10" x14ac:dyDescent="0.25">
      <c r="A148">
        <v>1021</v>
      </c>
      <c r="B148" t="s">
        <v>416</v>
      </c>
      <c r="C148">
        <v>38</v>
      </c>
      <c r="D148" t="s">
        <v>37</v>
      </c>
      <c r="E148">
        <v>45962</v>
      </c>
      <c r="F148">
        <v>45437</v>
      </c>
      <c r="G148" t="s">
        <v>417</v>
      </c>
      <c r="H148" t="s">
        <v>24</v>
      </c>
      <c r="I148">
        <v>122.56</v>
      </c>
      <c r="J148" t="s">
        <v>35</v>
      </c>
    </row>
    <row r="149" spans="1:10" x14ac:dyDescent="0.25">
      <c r="A149">
        <v>1072</v>
      </c>
      <c r="B149" t="s">
        <v>418</v>
      </c>
      <c r="C149">
        <v>37</v>
      </c>
      <c r="D149" t="s">
        <v>49</v>
      </c>
      <c r="E149">
        <v>45883</v>
      </c>
      <c r="F149">
        <v>45880</v>
      </c>
      <c r="G149" t="s">
        <v>419</v>
      </c>
      <c r="H149" t="s">
        <v>13</v>
      </c>
      <c r="I149" t="s">
        <v>420</v>
      </c>
      <c r="J149">
        <v>0</v>
      </c>
    </row>
    <row r="150" spans="1:10" x14ac:dyDescent="0.25">
      <c r="A150">
        <v>1011</v>
      </c>
      <c r="B150" t="s">
        <v>421</v>
      </c>
      <c r="C150">
        <v>66</v>
      </c>
      <c r="D150" t="s">
        <v>68</v>
      </c>
      <c r="E150">
        <v>45776</v>
      </c>
      <c r="F150">
        <v>45754</v>
      </c>
      <c r="G150" t="s">
        <v>422</v>
      </c>
      <c r="H150" t="s">
        <v>28</v>
      </c>
      <c r="I150" t="s">
        <v>423</v>
      </c>
      <c r="J150">
        <v>1</v>
      </c>
    </row>
    <row r="151" spans="1:10" x14ac:dyDescent="0.25">
      <c r="A151">
        <v>1097</v>
      </c>
      <c r="B151" t="s">
        <v>424</v>
      </c>
      <c r="C151">
        <v>48</v>
      </c>
      <c r="D151">
        <v>0</v>
      </c>
      <c r="E151">
        <v>45914</v>
      </c>
      <c r="F151">
        <v>45624</v>
      </c>
      <c r="G151" t="s">
        <v>425</v>
      </c>
      <c r="H151" t="s">
        <v>13</v>
      </c>
      <c r="I151" t="s">
        <v>426</v>
      </c>
      <c r="J151" t="s">
        <v>57</v>
      </c>
    </row>
    <row r="152" spans="1:10" x14ac:dyDescent="0.25">
      <c r="A152">
        <v>1028</v>
      </c>
      <c r="B152" t="s">
        <v>427</v>
      </c>
      <c r="C152">
        <v>56</v>
      </c>
      <c r="D152" t="s">
        <v>49</v>
      </c>
      <c r="E152">
        <v>45960</v>
      </c>
      <c r="F152">
        <v>45430</v>
      </c>
      <c r="G152" t="s">
        <v>428</v>
      </c>
      <c r="H152" t="s">
        <v>18</v>
      </c>
      <c r="I152" t="s">
        <v>429</v>
      </c>
      <c r="J152" t="s">
        <v>57</v>
      </c>
    </row>
    <row r="153" spans="1:10" x14ac:dyDescent="0.25">
      <c r="A153">
        <v>1057</v>
      </c>
      <c r="B153" t="s">
        <v>430</v>
      </c>
      <c r="C153">
        <v>32</v>
      </c>
      <c r="D153" t="s">
        <v>68</v>
      </c>
      <c r="E153">
        <v>45746</v>
      </c>
      <c r="F153">
        <v>45415</v>
      </c>
      <c r="G153" t="s">
        <v>431</v>
      </c>
      <c r="H153" t="s">
        <v>28</v>
      </c>
      <c r="I153" t="s">
        <v>432</v>
      </c>
      <c r="J153">
        <v>1</v>
      </c>
    </row>
    <row r="154" spans="1:10" x14ac:dyDescent="0.25">
      <c r="A154">
        <v>1002</v>
      </c>
      <c r="B154" t="s">
        <v>433</v>
      </c>
      <c r="C154">
        <v>87</v>
      </c>
      <c r="D154" t="s">
        <v>22</v>
      </c>
      <c r="E154">
        <v>45755</v>
      </c>
      <c r="F154">
        <v>45630</v>
      </c>
      <c r="G154" t="s">
        <v>434</v>
      </c>
      <c r="H154" t="s">
        <v>13</v>
      </c>
      <c r="I154">
        <v>401.55</v>
      </c>
      <c r="J154" t="s">
        <v>35</v>
      </c>
    </row>
    <row r="155" spans="1:10" x14ac:dyDescent="0.25">
      <c r="A155">
        <v>1065</v>
      </c>
      <c r="B155" t="s">
        <v>435</v>
      </c>
      <c r="C155">
        <v>18</v>
      </c>
      <c r="D155">
        <v>0</v>
      </c>
      <c r="E155">
        <v>45955</v>
      </c>
      <c r="F155">
        <v>45538</v>
      </c>
      <c r="G155" t="s">
        <v>436</v>
      </c>
      <c r="H155" t="s">
        <v>24</v>
      </c>
      <c r="I155" t="s">
        <v>437</v>
      </c>
      <c r="J155">
        <v>0</v>
      </c>
    </row>
    <row r="156" spans="1:10" x14ac:dyDescent="0.25">
      <c r="A156">
        <v>1026</v>
      </c>
      <c r="B156" t="s">
        <v>438</v>
      </c>
      <c r="C156">
        <v>87</v>
      </c>
      <c r="D156">
        <v>1</v>
      </c>
      <c r="E156">
        <v>46056</v>
      </c>
      <c r="F156">
        <v>45850</v>
      </c>
      <c r="G156" t="s">
        <v>439</v>
      </c>
      <c r="H156" t="s">
        <v>24</v>
      </c>
      <c r="I156" t="s">
        <v>440</v>
      </c>
      <c r="J156" t="s">
        <v>20</v>
      </c>
    </row>
    <row r="157" spans="1:10" x14ac:dyDescent="0.25">
      <c r="A157">
        <v>1100</v>
      </c>
      <c r="B157" t="s">
        <v>441</v>
      </c>
      <c r="C157">
        <v>62</v>
      </c>
      <c r="D157">
        <v>0</v>
      </c>
      <c r="E157">
        <v>45750</v>
      </c>
      <c r="F157">
        <v>45734</v>
      </c>
      <c r="G157" t="s">
        <v>442</v>
      </c>
      <c r="H157" t="s">
        <v>18</v>
      </c>
      <c r="I157" t="s">
        <v>443</v>
      </c>
      <c r="J157" t="s">
        <v>20</v>
      </c>
    </row>
    <row r="158" spans="1:10" x14ac:dyDescent="0.25">
      <c r="A158">
        <v>1066</v>
      </c>
      <c r="B158" t="s">
        <v>444</v>
      </c>
      <c r="C158">
        <v>86</v>
      </c>
      <c r="D158" t="s">
        <v>16</v>
      </c>
      <c r="E158">
        <v>46071</v>
      </c>
      <c r="F158">
        <v>45577</v>
      </c>
      <c r="G158" t="s">
        <v>445</v>
      </c>
      <c r="H158" t="s">
        <v>13</v>
      </c>
      <c r="I158" t="s">
        <v>446</v>
      </c>
      <c r="J158">
        <v>1</v>
      </c>
    </row>
    <row r="159" spans="1:10" x14ac:dyDescent="0.25">
      <c r="A159">
        <v>1025</v>
      </c>
      <c r="B159" t="s">
        <v>447</v>
      </c>
      <c r="C159">
        <v>25</v>
      </c>
      <c r="D159" t="s">
        <v>49</v>
      </c>
      <c r="E159">
        <v>45938</v>
      </c>
      <c r="F159">
        <v>45740</v>
      </c>
      <c r="G159" t="s">
        <v>448</v>
      </c>
      <c r="H159" t="s">
        <v>18</v>
      </c>
      <c r="I159">
        <v>248.33</v>
      </c>
      <c r="J159">
        <v>0</v>
      </c>
    </row>
    <row r="160" spans="1:10" x14ac:dyDescent="0.25">
      <c r="A160">
        <v>1038</v>
      </c>
      <c r="B160" t="s">
        <v>449</v>
      </c>
      <c r="C160">
        <v>46</v>
      </c>
      <c r="D160" t="s">
        <v>37</v>
      </c>
      <c r="E160">
        <v>45904</v>
      </c>
      <c r="F160">
        <v>45785</v>
      </c>
      <c r="G160" t="s">
        <v>450</v>
      </c>
      <c r="H160" t="s">
        <v>18</v>
      </c>
      <c r="I160" t="s">
        <v>451</v>
      </c>
      <c r="J160">
        <v>1</v>
      </c>
    </row>
    <row r="161" spans="1:10" x14ac:dyDescent="0.25">
      <c r="A161">
        <v>1038</v>
      </c>
      <c r="B161" t="s">
        <v>452</v>
      </c>
      <c r="C161">
        <v>39</v>
      </c>
      <c r="D161" t="s">
        <v>49</v>
      </c>
      <c r="E161">
        <v>45953</v>
      </c>
      <c r="F161">
        <v>45856</v>
      </c>
      <c r="G161" t="s">
        <v>453</v>
      </c>
      <c r="H161" t="s">
        <v>18</v>
      </c>
      <c r="J161">
        <v>0</v>
      </c>
    </row>
    <row r="162" spans="1:10" x14ac:dyDescent="0.25">
      <c r="A162">
        <v>1000</v>
      </c>
      <c r="B162" t="s">
        <v>454</v>
      </c>
      <c r="C162">
        <v>81</v>
      </c>
      <c r="D162" t="s">
        <v>16</v>
      </c>
      <c r="E162">
        <v>45956</v>
      </c>
      <c r="F162">
        <v>45707</v>
      </c>
      <c r="G162" t="s">
        <v>455</v>
      </c>
      <c r="H162" t="s">
        <v>28</v>
      </c>
      <c r="I162">
        <v>65.06</v>
      </c>
      <c r="J162">
        <v>1</v>
      </c>
    </row>
    <row r="163" spans="1:10" x14ac:dyDescent="0.25">
      <c r="A163">
        <v>1008</v>
      </c>
      <c r="B163" t="s">
        <v>456</v>
      </c>
      <c r="C163">
        <v>69</v>
      </c>
      <c r="D163">
        <v>0</v>
      </c>
      <c r="E163">
        <v>45785</v>
      </c>
      <c r="F163">
        <v>45681</v>
      </c>
      <c r="G163" t="s">
        <v>457</v>
      </c>
      <c r="H163" t="s">
        <v>24</v>
      </c>
      <c r="I163" t="s">
        <v>458</v>
      </c>
      <c r="J163" t="s">
        <v>35</v>
      </c>
    </row>
    <row r="164" spans="1:10" x14ac:dyDescent="0.25">
      <c r="A164">
        <v>1078</v>
      </c>
      <c r="B164" t="s">
        <v>459</v>
      </c>
      <c r="C164">
        <v>54</v>
      </c>
      <c r="D164">
        <v>0</v>
      </c>
      <c r="E164">
        <v>45867</v>
      </c>
      <c r="F164">
        <v>45449</v>
      </c>
      <c r="G164" t="s">
        <v>460</v>
      </c>
      <c r="H164" t="s">
        <v>24</v>
      </c>
      <c r="I164" t="s">
        <v>461</v>
      </c>
      <c r="J164" t="s">
        <v>30</v>
      </c>
    </row>
    <row r="165" spans="1:10" x14ac:dyDescent="0.25">
      <c r="A165">
        <v>1038</v>
      </c>
      <c r="B165" t="s">
        <v>462</v>
      </c>
      <c r="C165">
        <v>79</v>
      </c>
      <c r="D165" t="s">
        <v>16</v>
      </c>
      <c r="E165">
        <v>45790</v>
      </c>
      <c r="F165">
        <v>45537</v>
      </c>
      <c r="G165" t="s">
        <v>463</v>
      </c>
      <c r="H165" t="s">
        <v>18</v>
      </c>
      <c r="I165">
        <v>82.84</v>
      </c>
      <c r="J165" t="s">
        <v>30</v>
      </c>
    </row>
    <row r="166" spans="1:10" x14ac:dyDescent="0.25">
      <c r="A166">
        <v>1082</v>
      </c>
      <c r="B166" t="s">
        <v>464</v>
      </c>
      <c r="C166">
        <v>87</v>
      </c>
      <c r="E166">
        <v>45742</v>
      </c>
      <c r="F166">
        <v>45377</v>
      </c>
      <c r="G166" t="s">
        <v>465</v>
      </c>
      <c r="H166" t="s">
        <v>18</v>
      </c>
      <c r="I166" t="s">
        <v>466</v>
      </c>
      <c r="J166" t="s">
        <v>35</v>
      </c>
    </row>
    <row r="167" spans="1:10" x14ac:dyDescent="0.25">
      <c r="A167">
        <v>1028</v>
      </c>
      <c r="B167" t="s">
        <v>467</v>
      </c>
      <c r="C167">
        <v>24</v>
      </c>
      <c r="D167" t="s">
        <v>49</v>
      </c>
      <c r="E167">
        <v>46010</v>
      </c>
      <c r="F167">
        <v>45839</v>
      </c>
      <c r="G167" t="s">
        <v>468</v>
      </c>
      <c r="H167" t="s">
        <v>28</v>
      </c>
      <c r="I167" t="s">
        <v>469</v>
      </c>
      <c r="J167" t="s">
        <v>35</v>
      </c>
    </row>
    <row r="168" spans="1:10" x14ac:dyDescent="0.25">
      <c r="A168">
        <v>1048</v>
      </c>
      <c r="B168" t="s">
        <v>470</v>
      </c>
      <c r="C168">
        <v>77</v>
      </c>
      <c r="D168" t="s">
        <v>11</v>
      </c>
      <c r="E168">
        <v>45951</v>
      </c>
      <c r="F168">
        <v>45491</v>
      </c>
      <c r="G168" t="s">
        <v>471</v>
      </c>
      <c r="H168" t="s">
        <v>28</v>
      </c>
      <c r="I168" t="s">
        <v>472</v>
      </c>
      <c r="J168" t="s">
        <v>57</v>
      </c>
    </row>
    <row r="169" spans="1:10" x14ac:dyDescent="0.25">
      <c r="A169">
        <v>1035</v>
      </c>
      <c r="B169" t="s">
        <v>473</v>
      </c>
      <c r="C169">
        <v>60</v>
      </c>
      <c r="D169">
        <v>1</v>
      </c>
      <c r="E169">
        <v>45974</v>
      </c>
      <c r="F169">
        <v>45831</v>
      </c>
      <c r="G169" t="s">
        <v>474</v>
      </c>
      <c r="H169" t="s">
        <v>13</v>
      </c>
      <c r="I169">
        <v>99.19</v>
      </c>
      <c r="J169" t="s">
        <v>57</v>
      </c>
    </row>
    <row r="170" spans="1:10" x14ac:dyDescent="0.25">
      <c r="A170">
        <v>1010</v>
      </c>
      <c r="B170" t="s">
        <v>475</v>
      </c>
      <c r="C170">
        <v>57</v>
      </c>
      <c r="D170" t="s">
        <v>68</v>
      </c>
      <c r="E170">
        <v>45802</v>
      </c>
      <c r="F170">
        <v>45744</v>
      </c>
      <c r="G170" t="s">
        <v>476</v>
      </c>
      <c r="H170" t="s">
        <v>28</v>
      </c>
      <c r="I170">
        <v>225.83</v>
      </c>
      <c r="J170" t="s">
        <v>20</v>
      </c>
    </row>
    <row r="171" spans="1:10" x14ac:dyDescent="0.25">
      <c r="A171">
        <v>1043</v>
      </c>
      <c r="B171" t="s">
        <v>477</v>
      </c>
      <c r="C171">
        <v>69</v>
      </c>
      <c r="D171" t="s">
        <v>49</v>
      </c>
      <c r="E171">
        <v>45783</v>
      </c>
      <c r="F171">
        <v>45563</v>
      </c>
      <c r="G171" t="s">
        <v>478</v>
      </c>
      <c r="H171" t="s">
        <v>13</v>
      </c>
      <c r="I171">
        <v>458.12</v>
      </c>
      <c r="J171" t="s">
        <v>35</v>
      </c>
    </row>
    <row r="172" spans="1:10" x14ac:dyDescent="0.25">
      <c r="A172">
        <v>1083</v>
      </c>
      <c r="B172" t="s">
        <v>479</v>
      </c>
      <c r="C172">
        <v>58</v>
      </c>
      <c r="D172" t="s">
        <v>22</v>
      </c>
      <c r="E172">
        <v>46039</v>
      </c>
      <c r="F172">
        <v>45859</v>
      </c>
      <c r="G172" t="s">
        <v>480</v>
      </c>
      <c r="H172" t="s">
        <v>13</v>
      </c>
      <c r="I172" t="s">
        <v>481</v>
      </c>
      <c r="J172" t="s">
        <v>57</v>
      </c>
    </row>
    <row r="173" spans="1:10" x14ac:dyDescent="0.25">
      <c r="A173">
        <v>1026</v>
      </c>
      <c r="B173" t="s">
        <v>482</v>
      </c>
      <c r="C173">
        <v>86</v>
      </c>
      <c r="D173" t="s">
        <v>16</v>
      </c>
      <c r="E173">
        <v>46008</v>
      </c>
      <c r="F173">
        <v>45919</v>
      </c>
      <c r="G173" t="s">
        <v>483</v>
      </c>
      <c r="H173" t="s">
        <v>18</v>
      </c>
      <c r="I173" t="s">
        <v>484</v>
      </c>
      <c r="J173">
        <v>0</v>
      </c>
    </row>
    <row r="174" spans="1:10" x14ac:dyDescent="0.25">
      <c r="A174">
        <v>1046</v>
      </c>
      <c r="B174" t="s">
        <v>485</v>
      </c>
      <c r="C174">
        <v>50</v>
      </c>
      <c r="D174" t="s">
        <v>16</v>
      </c>
      <c r="E174">
        <v>45994</v>
      </c>
      <c r="F174">
        <v>45506</v>
      </c>
      <c r="G174" t="s">
        <v>486</v>
      </c>
      <c r="H174" t="s">
        <v>18</v>
      </c>
      <c r="I174" t="s">
        <v>487</v>
      </c>
      <c r="J174" t="s">
        <v>35</v>
      </c>
    </row>
    <row r="175" spans="1:10" x14ac:dyDescent="0.25">
      <c r="A175">
        <v>1084</v>
      </c>
      <c r="B175" t="s">
        <v>488</v>
      </c>
      <c r="C175">
        <v>52</v>
      </c>
      <c r="E175">
        <v>46019</v>
      </c>
      <c r="F175">
        <v>45712</v>
      </c>
      <c r="G175" t="s">
        <v>489</v>
      </c>
      <c r="H175" t="s">
        <v>28</v>
      </c>
      <c r="I175" t="s">
        <v>490</v>
      </c>
      <c r="J175" t="s">
        <v>35</v>
      </c>
    </row>
    <row r="176" spans="1:10" x14ac:dyDescent="0.25">
      <c r="A176">
        <v>1006</v>
      </c>
      <c r="B176" t="s">
        <v>491</v>
      </c>
      <c r="C176">
        <v>54</v>
      </c>
      <c r="D176" t="s">
        <v>11</v>
      </c>
      <c r="E176">
        <v>46049</v>
      </c>
      <c r="F176">
        <v>45536</v>
      </c>
      <c r="G176" t="s">
        <v>492</v>
      </c>
      <c r="H176" t="s">
        <v>18</v>
      </c>
      <c r="I176" t="s">
        <v>493</v>
      </c>
      <c r="J176" t="s">
        <v>30</v>
      </c>
    </row>
    <row r="177" spans="1:10" x14ac:dyDescent="0.25">
      <c r="A177">
        <v>1015</v>
      </c>
      <c r="B177" t="s">
        <v>494</v>
      </c>
      <c r="C177">
        <v>43</v>
      </c>
      <c r="D177">
        <v>0</v>
      </c>
      <c r="E177">
        <v>45987</v>
      </c>
      <c r="F177">
        <v>45894</v>
      </c>
      <c r="G177" t="s">
        <v>495</v>
      </c>
      <c r="H177" t="s">
        <v>24</v>
      </c>
      <c r="I177" t="s">
        <v>496</v>
      </c>
      <c r="J177" t="s">
        <v>20</v>
      </c>
    </row>
    <row r="178" spans="1:10" x14ac:dyDescent="0.25">
      <c r="A178">
        <v>1091</v>
      </c>
      <c r="B178" t="s">
        <v>497</v>
      </c>
      <c r="C178">
        <v>80</v>
      </c>
      <c r="D178" t="s">
        <v>68</v>
      </c>
      <c r="E178">
        <v>45913</v>
      </c>
      <c r="F178">
        <v>45845</v>
      </c>
      <c r="G178" t="s">
        <v>498</v>
      </c>
      <c r="H178" t="s">
        <v>13</v>
      </c>
      <c r="J178" t="s">
        <v>20</v>
      </c>
    </row>
    <row r="179" spans="1:10" x14ac:dyDescent="0.25">
      <c r="A179">
        <v>1024</v>
      </c>
      <c r="B179" t="s">
        <v>499</v>
      </c>
      <c r="C179">
        <v>34</v>
      </c>
      <c r="D179" t="s">
        <v>22</v>
      </c>
      <c r="E179">
        <v>46064</v>
      </c>
      <c r="F179">
        <v>45650</v>
      </c>
      <c r="G179" t="s">
        <v>500</v>
      </c>
      <c r="H179" t="s">
        <v>18</v>
      </c>
      <c r="I179" t="s">
        <v>501</v>
      </c>
      <c r="J179">
        <v>1</v>
      </c>
    </row>
    <row r="180" spans="1:10" x14ac:dyDescent="0.25">
      <c r="A180">
        <v>1033</v>
      </c>
      <c r="B180" t="s">
        <v>502</v>
      </c>
      <c r="C180">
        <v>87</v>
      </c>
      <c r="D180" t="s">
        <v>11</v>
      </c>
      <c r="E180">
        <v>45753</v>
      </c>
      <c r="F180">
        <v>45506</v>
      </c>
      <c r="G180" t="s">
        <v>503</v>
      </c>
      <c r="H180" t="s">
        <v>18</v>
      </c>
      <c r="I180">
        <v>446.06</v>
      </c>
      <c r="J180" t="s">
        <v>57</v>
      </c>
    </row>
    <row r="181" spans="1:10" x14ac:dyDescent="0.25">
      <c r="A181">
        <v>1010</v>
      </c>
      <c r="B181" t="s">
        <v>504</v>
      </c>
      <c r="C181">
        <v>21</v>
      </c>
      <c r="D181" t="s">
        <v>16</v>
      </c>
      <c r="E181">
        <v>46065</v>
      </c>
      <c r="F181">
        <v>45695</v>
      </c>
      <c r="G181" t="s">
        <v>505</v>
      </c>
      <c r="H181" t="s">
        <v>24</v>
      </c>
      <c r="I181" t="s">
        <v>506</v>
      </c>
      <c r="J181" t="s">
        <v>20</v>
      </c>
    </row>
    <row r="182" spans="1:10" x14ac:dyDescent="0.25">
      <c r="A182">
        <v>1082</v>
      </c>
      <c r="B182" t="s">
        <v>507</v>
      </c>
      <c r="C182">
        <v>37</v>
      </c>
      <c r="D182" t="s">
        <v>22</v>
      </c>
      <c r="E182">
        <v>45978</v>
      </c>
      <c r="F182">
        <v>45664</v>
      </c>
      <c r="G182" t="s">
        <v>508</v>
      </c>
      <c r="H182" t="s">
        <v>18</v>
      </c>
      <c r="I182" t="s">
        <v>509</v>
      </c>
      <c r="J182">
        <v>0</v>
      </c>
    </row>
    <row r="183" spans="1:10" x14ac:dyDescent="0.25">
      <c r="A183">
        <v>1096</v>
      </c>
      <c r="B183" t="s">
        <v>510</v>
      </c>
      <c r="C183">
        <v>42</v>
      </c>
      <c r="D183" t="s">
        <v>49</v>
      </c>
      <c r="E183">
        <v>45881</v>
      </c>
      <c r="F183">
        <v>45543</v>
      </c>
      <c r="G183" t="s">
        <v>511</v>
      </c>
      <c r="H183" t="s">
        <v>24</v>
      </c>
      <c r="I183" t="s">
        <v>512</v>
      </c>
      <c r="J183" t="s">
        <v>30</v>
      </c>
    </row>
    <row r="184" spans="1:10" x14ac:dyDescent="0.25">
      <c r="A184">
        <v>1011</v>
      </c>
      <c r="B184" t="s">
        <v>513</v>
      </c>
      <c r="C184">
        <v>53</v>
      </c>
      <c r="D184">
        <v>1</v>
      </c>
      <c r="E184">
        <v>45956</v>
      </c>
      <c r="F184">
        <v>45914</v>
      </c>
      <c r="G184" t="s">
        <v>514</v>
      </c>
      <c r="H184" t="s">
        <v>24</v>
      </c>
      <c r="I184" t="s">
        <v>515</v>
      </c>
      <c r="J184">
        <v>0</v>
      </c>
    </row>
    <row r="185" spans="1:10" x14ac:dyDescent="0.25">
      <c r="A185">
        <v>1002</v>
      </c>
      <c r="B185" t="s">
        <v>516</v>
      </c>
      <c r="C185">
        <v>35</v>
      </c>
      <c r="D185">
        <v>1</v>
      </c>
      <c r="E185">
        <v>45925</v>
      </c>
      <c r="F185">
        <v>45436</v>
      </c>
      <c r="G185" t="s">
        <v>517</v>
      </c>
      <c r="H185" t="s">
        <v>24</v>
      </c>
      <c r="I185" t="s">
        <v>518</v>
      </c>
      <c r="J185" t="s">
        <v>20</v>
      </c>
    </row>
    <row r="186" spans="1:10" x14ac:dyDescent="0.25">
      <c r="A186">
        <v>1016</v>
      </c>
      <c r="B186" t="s">
        <v>519</v>
      </c>
      <c r="C186">
        <v>44</v>
      </c>
      <c r="D186" t="s">
        <v>49</v>
      </c>
      <c r="E186">
        <v>45830</v>
      </c>
      <c r="F186">
        <v>45461</v>
      </c>
      <c r="G186" t="s">
        <v>520</v>
      </c>
      <c r="H186" t="s">
        <v>18</v>
      </c>
      <c r="I186" t="s">
        <v>521</v>
      </c>
      <c r="J186">
        <v>1</v>
      </c>
    </row>
    <row r="187" spans="1:10" x14ac:dyDescent="0.25">
      <c r="A187">
        <v>1077</v>
      </c>
      <c r="B187" t="s">
        <v>522</v>
      </c>
      <c r="C187">
        <v>83</v>
      </c>
      <c r="D187" t="s">
        <v>68</v>
      </c>
      <c r="E187">
        <v>45790</v>
      </c>
      <c r="F187">
        <v>45716</v>
      </c>
      <c r="G187" t="s">
        <v>125</v>
      </c>
      <c r="H187" t="s">
        <v>28</v>
      </c>
      <c r="I187" t="s">
        <v>523</v>
      </c>
      <c r="J187" t="s">
        <v>35</v>
      </c>
    </row>
    <row r="188" spans="1:10" x14ac:dyDescent="0.25">
      <c r="A188">
        <v>1026</v>
      </c>
      <c r="B188" t="s">
        <v>524</v>
      </c>
      <c r="C188">
        <v>25</v>
      </c>
      <c r="D188" t="s">
        <v>11</v>
      </c>
      <c r="E188">
        <v>45845</v>
      </c>
      <c r="F188">
        <v>45449</v>
      </c>
      <c r="G188" t="s">
        <v>525</v>
      </c>
      <c r="H188" t="s">
        <v>28</v>
      </c>
      <c r="I188" t="s">
        <v>526</v>
      </c>
      <c r="J188" t="s">
        <v>20</v>
      </c>
    </row>
    <row r="189" spans="1:10" x14ac:dyDescent="0.25">
      <c r="A189">
        <v>1052</v>
      </c>
      <c r="B189" t="s">
        <v>527</v>
      </c>
      <c r="C189">
        <v>59</v>
      </c>
      <c r="D189">
        <v>0</v>
      </c>
      <c r="E189">
        <v>46095</v>
      </c>
      <c r="F189">
        <v>45683</v>
      </c>
      <c r="G189" t="s">
        <v>528</v>
      </c>
      <c r="H189" t="s">
        <v>18</v>
      </c>
      <c r="I189" t="s">
        <v>529</v>
      </c>
      <c r="J189" t="s">
        <v>57</v>
      </c>
    </row>
    <row r="190" spans="1:10" x14ac:dyDescent="0.25">
      <c r="A190">
        <v>1040</v>
      </c>
      <c r="B190" t="s">
        <v>530</v>
      </c>
      <c r="C190">
        <v>33</v>
      </c>
      <c r="D190" t="s">
        <v>37</v>
      </c>
      <c r="E190">
        <v>46041</v>
      </c>
      <c r="F190">
        <v>45381</v>
      </c>
      <c r="G190" t="s">
        <v>531</v>
      </c>
      <c r="H190" t="s">
        <v>28</v>
      </c>
      <c r="I190" t="s">
        <v>532</v>
      </c>
      <c r="J190">
        <v>1</v>
      </c>
    </row>
    <row r="191" spans="1:10" x14ac:dyDescent="0.25">
      <c r="A191">
        <v>1068</v>
      </c>
      <c r="B191" t="s">
        <v>533</v>
      </c>
      <c r="C191">
        <v>29</v>
      </c>
      <c r="D191" t="s">
        <v>49</v>
      </c>
      <c r="E191">
        <v>45804</v>
      </c>
      <c r="F191">
        <v>45588</v>
      </c>
      <c r="G191" t="s">
        <v>534</v>
      </c>
      <c r="H191" t="s">
        <v>28</v>
      </c>
      <c r="I191">
        <v>429.14</v>
      </c>
      <c r="J191" t="s">
        <v>35</v>
      </c>
    </row>
    <row r="192" spans="1:10" x14ac:dyDescent="0.25">
      <c r="A192">
        <v>1013</v>
      </c>
      <c r="B192" t="s">
        <v>535</v>
      </c>
      <c r="C192">
        <v>25</v>
      </c>
      <c r="D192" t="s">
        <v>22</v>
      </c>
      <c r="E192">
        <v>45962</v>
      </c>
      <c r="F192">
        <v>45502</v>
      </c>
      <c r="G192" t="s">
        <v>536</v>
      </c>
      <c r="H192" t="s">
        <v>18</v>
      </c>
      <c r="I192" t="s">
        <v>537</v>
      </c>
      <c r="J192" t="s">
        <v>30</v>
      </c>
    </row>
    <row r="193" spans="1:10" x14ac:dyDescent="0.25">
      <c r="A193">
        <v>1024</v>
      </c>
      <c r="B193" t="s">
        <v>538</v>
      </c>
      <c r="C193">
        <v>33</v>
      </c>
      <c r="D193">
        <v>0</v>
      </c>
      <c r="E193">
        <v>46075</v>
      </c>
      <c r="F193">
        <v>45919</v>
      </c>
      <c r="G193" t="s">
        <v>539</v>
      </c>
      <c r="H193" t="s">
        <v>18</v>
      </c>
      <c r="I193" t="s">
        <v>540</v>
      </c>
      <c r="J193" t="s">
        <v>20</v>
      </c>
    </row>
    <row r="194" spans="1:10" x14ac:dyDescent="0.25">
      <c r="A194">
        <v>1033</v>
      </c>
      <c r="B194" t="s">
        <v>541</v>
      </c>
      <c r="C194">
        <v>56</v>
      </c>
      <c r="D194">
        <v>0</v>
      </c>
      <c r="E194">
        <v>45968</v>
      </c>
      <c r="F194">
        <v>45632</v>
      </c>
      <c r="G194" t="s">
        <v>542</v>
      </c>
      <c r="H194" t="s">
        <v>18</v>
      </c>
      <c r="I194" t="s">
        <v>543</v>
      </c>
      <c r="J194" t="s">
        <v>35</v>
      </c>
    </row>
    <row r="195" spans="1:10" x14ac:dyDescent="0.25">
      <c r="A195">
        <v>1067</v>
      </c>
      <c r="B195" t="s">
        <v>544</v>
      </c>
      <c r="C195">
        <v>85</v>
      </c>
      <c r="D195" t="s">
        <v>68</v>
      </c>
      <c r="E195">
        <v>45955</v>
      </c>
      <c r="F195">
        <v>45709</v>
      </c>
      <c r="G195" t="s">
        <v>545</v>
      </c>
      <c r="H195" t="s">
        <v>18</v>
      </c>
      <c r="I195" t="s">
        <v>546</v>
      </c>
      <c r="J195" t="s">
        <v>20</v>
      </c>
    </row>
    <row r="196" spans="1:10" x14ac:dyDescent="0.25">
      <c r="A196">
        <v>1045</v>
      </c>
      <c r="B196" t="s">
        <v>547</v>
      </c>
      <c r="C196">
        <v>24</v>
      </c>
      <c r="D196" t="s">
        <v>37</v>
      </c>
      <c r="E196">
        <v>45807</v>
      </c>
      <c r="F196">
        <v>45736</v>
      </c>
      <c r="G196" t="s">
        <v>548</v>
      </c>
      <c r="H196" t="s">
        <v>24</v>
      </c>
      <c r="I196" t="s">
        <v>549</v>
      </c>
      <c r="J196" t="s">
        <v>35</v>
      </c>
    </row>
    <row r="197" spans="1:10" x14ac:dyDescent="0.25">
      <c r="A197">
        <v>1087</v>
      </c>
      <c r="B197" t="s">
        <v>550</v>
      </c>
      <c r="C197">
        <v>31</v>
      </c>
      <c r="D197">
        <v>0</v>
      </c>
      <c r="E197">
        <v>45979</v>
      </c>
      <c r="F197">
        <v>45749</v>
      </c>
      <c r="G197" t="s">
        <v>551</v>
      </c>
      <c r="H197" t="s">
        <v>28</v>
      </c>
      <c r="J197" t="s">
        <v>20</v>
      </c>
    </row>
    <row r="198" spans="1:10" x14ac:dyDescent="0.25">
      <c r="A198">
        <v>1056</v>
      </c>
      <c r="B198" t="s">
        <v>552</v>
      </c>
      <c r="C198">
        <v>24</v>
      </c>
      <c r="D198" t="s">
        <v>16</v>
      </c>
      <c r="E198">
        <v>45769</v>
      </c>
      <c r="F198">
        <v>45740</v>
      </c>
      <c r="G198" t="s">
        <v>553</v>
      </c>
      <c r="H198" t="s">
        <v>28</v>
      </c>
      <c r="J198" t="s">
        <v>35</v>
      </c>
    </row>
    <row r="199" spans="1:10" x14ac:dyDescent="0.25">
      <c r="A199">
        <v>1053</v>
      </c>
      <c r="B199" t="s">
        <v>554</v>
      </c>
      <c r="C199">
        <v>81</v>
      </c>
      <c r="D199" t="s">
        <v>37</v>
      </c>
      <c r="E199">
        <v>45760</v>
      </c>
      <c r="F199">
        <v>45629</v>
      </c>
      <c r="G199" t="s">
        <v>555</v>
      </c>
      <c r="H199" t="s">
        <v>13</v>
      </c>
      <c r="I199" t="s">
        <v>556</v>
      </c>
      <c r="J199" t="s">
        <v>20</v>
      </c>
    </row>
    <row r="200" spans="1:10" x14ac:dyDescent="0.25">
      <c r="A200">
        <v>1059</v>
      </c>
      <c r="B200" t="s">
        <v>557</v>
      </c>
      <c r="C200">
        <v>79</v>
      </c>
      <c r="D200" t="s">
        <v>49</v>
      </c>
      <c r="E200">
        <v>45893</v>
      </c>
      <c r="F200">
        <v>45890</v>
      </c>
      <c r="G200" t="s">
        <v>558</v>
      </c>
      <c r="H200" t="s">
        <v>18</v>
      </c>
      <c r="I200" t="s">
        <v>559</v>
      </c>
      <c r="J200" t="s">
        <v>35</v>
      </c>
    </row>
    <row r="201" spans="1:10" x14ac:dyDescent="0.25">
      <c r="A201">
        <v>1050</v>
      </c>
      <c r="B201" t="s">
        <v>560</v>
      </c>
      <c r="C201">
        <v>32</v>
      </c>
      <c r="D201" t="s">
        <v>22</v>
      </c>
      <c r="E201">
        <v>45751</v>
      </c>
      <c r="F201">
        <v>45428</v>
      </c>
      <c r="G201" t="s">
        <v>561</v>
      </c>
      <c r="H201" t="s">
        <v>18</v>
      </c>
      <c r="I201" t="s">
        <v>562</v>
      </c>
      <c r="J201" t="s">
        <v>20</v>
      </c>
    </row>
    <row r="202" spans="1:10" x14ac:dyDescent="0.25">
      <c r="A202">
        <v>1044</v>
      </c>
      <c r="B202" t="s">
        <v>563</v>
      </c>
      <c r="C202">
        <v>21</v>
      </c>
      <c r="D202" t="s">
        <v>11</v>
      </c>
      <c r="E202">
        <v>45830</v>
      </c>
      <c r="F202">
        <v>45452</v>
      </c>
      <c r="G202" t="s">
        <v>564</v>
      </c>
      <c r="H202" t="s">
        <v>18</v>
      </c>
      <c r="I202" t="s">
        <v>565</v>
      </c>
      <c r="J202" t="s">
        <v>57</v>
      </c>
    </row>
    <row r="203" spans="1:10" x14ac:dyDescent="0.25">
      <c r="A203">
        <v>1089</v>
      </c>
      <c r="B203" t="s">
        <v>566</v>
      </c>
      <c r="C203">
        <v>48</v>
      </c>
      <c r="D203">
        <v>1</v>
      </c>
      <c r="E203">
        <v>45742</v>
      </c>
      <c r="F203">
        <v>45629</v>
      </c>
      <c r="G203" t="s">
        <v>567</v>
      </c>
      <c r="H203" t="s">
        <v>13</v>
      </c>
      <c r="I203" t="s">
        <v>568</v>
      </c>
      <c r="J203">
        <v>0</v>
      </c>
    </row>
    <row r="204" spans="1:10" x14ac:dyDescent="0.25">
      <c r="A204">
        <v>1074</v>
      </c>
      <c r="B204" t="s">
        <v>569</v>
      </c>
      <c r="C204">
        <v>23</v>
      </c>
      <c r="D204" t="s">
        <v>68</v>
      </c>
      <c r="E204">
        <v>45984</v>
      </c>
      <c r="F204">
        <v>45910</v>
      </c>
      <c r="G204" t="s">
        <v>570</v>
      </c>
      <c r="H204" t="s">
        <v>18</v>
      </c>
      <c r="I204" t="s">
        <v>571</v>
      </c>
      <c r="J204" t="s">
        <v>57</v>
      </c>
    </row>
    <row r="205" spans="1:10" x14ac:dyDescent="0.25">
      <c r="A205">
        <v>1026</v>
      </c>
      <c r="B205" t="s">
        <v>572</v>
      </c>
      <c r="C205">
        <v>87</v>
      </c>
      <c r="D205">
        <v>0</v>
      </c>
      <c r="E205">
        <v>46059</v>
      </c>
      <c r="F205">
        <v>45515</v>
      </c>
      <c r="G205" t="s">
        <v>573</v>
      </c>
      <c r="H205" t="s">
        <v>24</v>
      </c>
      <c r="I205">
        <v>446.44</v>
      </c>
      <c r="J205" t="s">
        <v>35</v>
      </c>
    </row>
    <row r="206" spans="1:10" x14ac:dyDescent="0.25">
      <c r="A206">
        <v>1059</v>
      </c>
      <c r="B206" t="s">
        <v>574</v>
      </c>
      <c r="C206">
        <v>27</v>
      </c>
      <c r="D206">
        <v>0</v>
      </c>
      <c r="E206">
        <v>45892</v>
      </c>
      <c r="F206">
        <v>45608</v>
      </c>
      <c r="G206" t="s">
        <v>575</v>
      </c>
      <c r="H206" t="s">
        <v>28</v>
      </c>
      <c r="I206">
        <v>165.8</v>
      </c>
      <c r="J206" t="s">
        <v>20</v>
      </c>
    </row>
    <row r="207" spans="1:10" x14ac:dyDescent="0.25">
      <c r="A207">
        <v>1065</v>
      </c>
      <c r="B207" t="s">
        <v>576</v>
      </c>
      <c r="C207">
        <v>71</v>
      </c>
      <c r="D207" t="s">
        <v>37</v>
      </c>
      <c r="E207">
        <v>46088</v>
      </c>
      <c r="F207">
        <v>45746</v>
      </c>
      <c r="G207" t="s">
        <v>577</v>
      </c>
      <c r="H207" t="s">
        <v>13</v>
      </c>
      <c r="I207" t="s">
        <v>578</v>
      </c>
      <c r="J207">
        <v>1</v>
      </c>
    </row>
    <row r="208" spans="1:10" x14ac:dyDescent="0.25">
      <c r="A208">
        <v>1085</v>
      </c>
      <c r="B208" t="s">
        <v>579</v>
      </c>
      <c r="C208">
        <v>75</v>
      </c>
      <c r="D208" t="s">
        <v>49</v>
      </c>
      <c r="E208">
        <v>45967</v>
      </c>
      <c r="F208">
        <v>45579</v>
      </c>
      <c r="G208" t="s">
        <v>580</v>
      </c>
      <c r="H208" t="s">
        <v>18</v>
      </c>
      <c r="J208" t="s">
        <v>20</v>
      </c>
    </row>
    <row r="209" spans="1:10" x14ac:dyDescent="0.25">
      <c r="A209">
        <v>1024</v>
      </c>
      <c r="B209" t="s">
        <v>581</v>
      </c>
      <c r="C209">
        <v>86</v>
      </c>
      <c r="D209">
        <v>1</v>
      </c>
      <c r="E209">
        <v>46070</v>
      </c>
      <c r="F209">
        <v>46037</v>
      </c>
      <c r="G209" t="s">
        <v>582</v>
      </c>
      <c r="H209" t="s">
        <v>18</v>
      </c>
      <c r="I209" t="s">
        <v>583</v>
      </c>
      <c r="J209" t="s">
        <v>35</v>
      </c>
    </row>
    <row r="210" spans="1:10" x14ac:dyDescent="0.25">
      <c r="A210">
        <v>1048</v>
      </c>
      <c r="B210" t="s">
        <v>584</v>
      </c>
      <c r="C210">
        <v>33</v>
      </c>
      <c r="E210">
        <v>45926</v>
      </c>
      <c r="F210">
        <v>45538</v>
      </c>
      <c r="G210" t="s">
        <v>585</v>
      </c>
      <c r="H210" t="s">
        <v>24</v>
      </c>
      <c r="J210" t="s">
        <v>20</v>
      </c>
    </row>
    <row r="211" spans="1:10" x14ac:dyDescent="0.25">
      <c r="A211">
        <v>1069</v>
      </c>
      <c r="B211" t="s">
        <v>586</v>
      </c>
      <c r="C211">
        <v>73</v>
      </c>
      <c r="D211" t="s">
        <v>16</v>
      </c>
      <c r="E211">
        <v>46030</v>
      </c>
      <c r="F211">
        <v>45517</v>
      </c>
      <c r="G211" t="s">
        <v>587</v>
      </c>
      <c r="H211" t="s">
        <v>28</v>
      </c>
      <c r="I211">
        <v>96.48</v>
      </c>
      <c r="J211" t="s">
        <v>35</v>
      </c>
    </row>
    <row r="212" spans="1:10" x14ac:dyDescent="0.25">
      <c r="A212">
        <v>1071</v>
      </c>
      <c r="B212" t="s">
        <v>588</v>
      </c>
      <c r="C212">
        <v>73</v>
      </c>
      <c r="D212">
        <v>1</v>
      </c>
      <c r="E212">
        <v>45964</v>
      </c>
      <c r="F212">
        <v>45408</v>
      </c>
      <c r="G212" t="s">
        <v>589</v>
      </c>
      <c r="H212" t="s">
        <v>18</v>
      </c>
      <c r="I212" t="s">
        <v>590</v>
      </c>
      <c r="J212" t="s">
        <v>20</v>
      </c>
    </row>
    <row r="213" spans="1:10" x14ac:dyDescent="0.25">
      <c r="A213">
        <v>1076</v>
      </c>
      <c r="B213" t="s">
        <v>591</v>
      </c>
      <c r="C213">
        <v>21</v>
      </c>
      <c r="D213" t="s">
        <v>37</v>
      </c>
      <c r="E213">
        <v>45949</v>
      </c>
      <c r="F213">
        <v>45871</v>
      </c>
      <c r="G213" t="s">
        <v>592</v>
      </c>
      <c r="H213" t="s">
        <v>18</v>
      </c>
      <c r="I213" t="s">
        <v>593</v>
      </c>
      <c r="J213" t="s">
        <v>35</v>
      </c>
    </row>
    <row r="214" spans="1:10" x14ac:dyDescent="0.25">
      <c r="A214">
        <v>1057</v>
      </c>
      <c r="B214" t="s">
        <v>594</v>
      </c>
      <c r="C214">
        <v>28</v>
      </c>
      <c r="D214">
        <v>1</v>
      </c>
      <c r="E214">
        <v>45816</v>
      </c>
      <c r="F214">
        <v>45814</v>
      </c>
      <c r="G214" t="s">
        <v>595</v>
      </c>
      <c r="H214" t="s">
        <v>24</v>
      </c>
      <c r="I214" t="s">
        <v>596</v>
      </c>
      <c r="J214" t="s">
        <v>57</v>
      </c>
    </row>
    <row r="215" spans="1:10" x14ac:dyDescent="0.25">
      <c r="A215">
        <v>1029</v>
      </c>
      <c r="B215" t="s">
        <v>597</v>
      </c>
      <c r="C215">
        <v>49</v>
      </c>
      <c r="D215" t="s">
        <v>37</v>
      </c>
      <c r="E215">
        <v>45792</v>
      </c>
      <c r="F215">
        <v>45756</v>
      </c>
      <c r="G215" t="s">
        <v>598</v>
      </c>
      <c r="H215" t="s">
        <v>24</v>
      </c>
      <c r="I215" t="s">
        <v>599</v>
      </c>
      <c r="J215" t="s">
        <v>35</v>
      </c>
    </row>
    <row r="216" spans="1:10" x14ac:dyDescent="0.25">
      <c r="A216">
        <v>1049</v>
      </c>
      <c r="B216" t="s">
        <v>600</v>
      </c>
      <c r="C216">
        <v>65</v>
      </c>
      <c r="D216" t="s">
        <v>49</v>
      </c>
      <c r="E216">
        <v>46032</v>
      </c>
      <c r="F216">
        <v>46028</v>
      </c>
      <c r="G216" t="s">
        <v>601</v>
      </c>
      <c r="H216" t="s">
        <v>28</v>
      </c>
      <c r="I216" t="s">
        <v>602</v>
      </c>
      <c r="J216" t="s">
        <v>20</v>
      </c>
    </row>
    <row r="217" spans="1:10" x14ac:dyDescent="0.25">
      <c r="A217">
        <v>1049</v>
      </c>
      <c r="B217" t="s">
        <v>603</v>
      </c>
      <c r="C217">
        <v>59</v>
      </c>
      <c r="D217" t="s">
        <v>68</v>
      </c>
      <c r="E217">
        <v>45975</v>
      </c>
      <c r="F217">
        <v>45770</v>
      </c>
      <c r="G217" t="s">
        <v>604</v>
      </c>
      <c r="H217" t="s">
        <v>24</v>
      </c>
      <c r="I217" t="s">
        <v>605</v>
      </c>
      <c r="J217" t="s">
        <v>30</v>
      </c>
    </row>
    <row r="218" spans="1:10" x14ac:dyDescent="0.25">
      <c r="A218">
        <v>1076</v>
      </c>
      <c r="B218" t="s">
        <v>606</v>
      </c>
      <c r="C218">
        <v>24</v>
      </c>
      <c r="D218" t="s">
        <v>16</v>
      </c>
      <c r="E218">
        <v>45936</v>
      </c>
      <c r="F218">
        <v>45456</v>
      </c>
      <c r="G218" t="s">
        <v>607</v>
      </c>
      <c r="H218" t="s">
        <v>18</v>
      </c>
      <c r="I218" t="s">
        <v>608</v>
      </c>
      <c r="J218" t="s">
        <v>35</v>
      </c>
    </row>
    <row r="219" spans="1:10" x14ac:dyDescent="0.25">
      <c r="A219">
        <v>1083</v>
      </c>
      <c r="B219" t="s">
        <v>609</v>
      </c>
      <c r="C219">
        <v>56</v>
      </c>
      <c r="D219" t="s">
        <v>37</v>
      </c>
      <c r="E219">
        <v>45754</v>
      </c>
      <c r="F219">
        <v>45665</v>
      </c>
      <c r="G219" t="s">
        <v>610</v>
      </c>
      <c r="H219" t="s">
        <v>24</v>
      </c>
      <c r="I219" t="s">
        <v>611</v>
      </c>
      <c r="J219">
        <v>1</v>
      </c>
    </row>
    <row r="220" spans="1:10" x14ac:dyDescent="0.25">
      <c r="A220">
        <v>1083</v>
      </c>
      <c r="B220" t="s">
        <v>612</v>
      </c>
      <c r="C220">
        <v>21</v>
      </c>
      <c r="D220">
        <v>0</v>
      </c>
      <c r="E220">
        <v>45887</v>
      </c>
      <c r="F220">
        <v>45496</v>
      </c>
      <c r="G220" t="s">
        <v>613</v>
      </c>
      <c r="H220" t="s">
        <v>13</v>
      </c>
      <c r="I220">
        <v>96.21</v>
      </c>
      <c r="J220">
        <v>1</v>
      </c>
    </row>
    <row r="221" spans="1:10" x14ac:dyDescent="0.25">
      <c r="A221">
        <v>1091</v>
      </c>
      <c r="B221" t="s">
        <v>614</v>
      </c>
      <c r="C221">
        <v>20</v>
      </c>
      <c r="D221" t="s">
        <v>22</v>
      </c>
      <c r="E221">
        <v>45997</v>
      </c>
      <c r="F221">
        <v>45986</v>
      </c>
      <c r="G221" t="s">
        <v>615</v>
      </c>
      <c r="H221" t="s">
        <v>28</v>
      </c>
      <c r="I221" t="s">
        <v>616</v>
      </c>
      <c r="J221" t="s">
        <v>35</v>
      </c>
    </row>
    <row r="222" spans="1:10" x14ac:dyDescent="0.25">
      <c r="A222">
        <v>1099</v>
      </c>
      <c r="B222" t="s">
        <v>617</v>
      </c>
      <c r="C222">
        <v>23</v>
      </c>
      <c r="D222">
        <v>1</v>
      </c>
      <c r="E222">
        <v>45897</v>
      </c>
      <c r="F222">
        <v>45539</v>
      </c>
      <c r="G222" t="s">
        <v>618</v>
      </c>
      <c r="H222" t="s">
        <v>13</v>
      </c>
      <c r="I222" t="s">
        <v>619</v>
      </c>
      <c r="J222" t="s">
        <v>57</v>
      </c>
    </row>
    <row r="223" spans="1:10" x14ac:dyDescent="0.25">
      <c r="A223">
        <v>1098</v>
      </c>
      <c r="B223" t="s">
        <v>620</v>
      </c>
      <c r="C223">
        <v>39</v>
      </c>
      <c r="D223">
        <v>0</v>
      </c>
      <c r="E223">
        <v>45962</v>
      </c>
      <c r="F223">
        <v>45578</v>
      </c>
      <c r="G223" t="s">
        <v>621</v>
      </c>
      <c r="H223" t="s">
        <v>28</v>
      </c>
      <c r="I223" t="s">
        <v>622</v>
      </c>
      <c r="J223" t="s">
        <v>57</v>
      </c>
    </row>
    <row r="224" spans="1:10" x14ac:dyDescent="0.25">
      <c r="A224">
        <v>1060</v>
      </c>
      <c r="B224" t="s">
        <v>623</v>
      </c>
      <c r="C224">
        <v>32</v>
      </c>
      <c r="E224">
        <v>46024</v>
      </c>
      <c r="F224">
        <v>45706</v>
      </c>
      <c r="G224" t="s">
        <v>624</v>
      </c>
      <c r="H224" t="s">
        <v>18</v>
      </c>
      <c r="I224" t="s">
        <v>625</v>
      </c>
      <c r="J224" t="s">
        <v>35</v>
      </c>
    </row>
    <row r="225" spans="1:10" x14ac:dyDescent="0.25">
      <c r="A225">
        <v>1091</v>
      </c>
      <c r="B225" t="s">
        <v>626</v>
      </c>
      <c r="C225">
        <v>67</v>
      </c>
      <c r="D225">
        <v>1</v>
      </c>
      <c r="E225">
        <v>45870</v>
      </c>
      <c r="F225">
        <v>45786</v>
      </c>
      <c r="G225" t="s">
        <v>627</v>
      </c>
      <c r="H225" t="s">
        <v>24</v>
      </c>
      <c r="I225" t="s">
        <v>628</v>
      </c>
      <c r="J225">
        <v>0</v>
      </c>
    </row>
    <row r="226" spans="1:10" x14ac:dyDescent="0.25">
      <c r="A226">
        <v>1031</v>
      </c>
      <c r="B226" t="s">
        <v>629</v>
      </c>
      <c r="C226">
        <v>23</v>
      </c>
      <c r="D226" t="s">
        <v>49</v>
      </c>
      <c r="E226">
        <v>46087</v>
      </c>
      <c r="F226">
        <v>45493</v>
      </c>
      <c r="G226" t="s">
        <v>630</v>
      </c>
      <c r="H226" t="s">
        <v>13</v>
      </c>
      <c r="I226" t="s">
        <v>631</v>
      </c>
      <c r="J226" t="s">
        <v>35</v>
      </c>
    </row>
    <row r="227" spans="1:10" x14ac:dyDescent="0.25">
      <c r="A227">
        <v>1018</v>
      </c>
      <c r="B227" t="s">
        <v>632</v>
      </c>
      <c r="C227">
        <v>71</v>
      </c>
      <c r="D227" t="s">
        <v>22</v>
      </c>
      <c r="E227">
        <v>45794</v>
      </c>
      <c r="F227">
        <v>45651</v>
      </c>
      <c r="G227" t="s">
        <v>633</v>
      </c>
      <c r="H227" t="s">
        <v>24</v>
      </c>
      <c r="I227" t="s">
        <v>634</v>
      </c>
      <c r="J227" t="s">
        <v>35</v>
      </c>
    </row>
    <row r="228" spans="1:10" x14ac:dyDescent="0.25">
      <c r="A228">
        <v>1054</v>
      </c>
      <c r="B228" t="s">
        <v>635</v>
      </c>
      <c r="C228">
        <v>68</v>
      </c>
      <c r="D228" t="s">
        <v>49</v>
      </c>
      <c r="E228">
        <v>45761</v>
      </c>
      <c r="F228">
        <v>45701</v>
      </c>
      <c r="G228" t="s">
        <v>636</v>
      </c>
      <c r="H228" t="s">
        <v>28</v>
      </c>
      <c r="I228" t="s">
        <v>637</v>
      </c>
      <c r="J228">
        <v>0</v>
      </c>
    </row>
    <row r="229" spans="1:10" x14ac:dyDescent="0.25">
      <c r="A229">
        <v>1038</v>
      </c>
      <c r="B229" t="s">
        <v>638</v>
      </c>
      <c r="C229">
        <v>19</v>
      </c>
      <c r="D229">
        <v>1</v>
      </c>
      <c r="E229">
        <v>45747</v>
      </c>
      <c r="F229">
        <v>45592</v>
      </c>
      <c r="G229" t="s">
        <v>639</v>
      </c>
      <c r="H229" t="s">
        <v>13</v>
      </c>
      <c r="I229" t="s">
        <v>640</v>
      </c>
      <c r="J229" t="s">
        <v>57</v>
      </c>
    </row>
    <row r="230" spans="1:10" x14ac:dyDescent="0.25">
      <c r="A230">
        <v>1067</v>
      </c>
      <c r="B230" t="s">
        <v>641</v>
      </c>
      <c r="C230">
        <v>33</v>
      </c>
      <c r="D230">
        <v>0</v>
      </c>
      <c r="E230">
        <v>46020</v>
      </c>
      <c r="F230">
        <v>45441</v>
      </c>
      <c r="G230" t="s">
        <v>642</v>
      </c>
      <c r="H230" t="s">
        <v>28</v>
      </c>
      <c r="I230">
        <v>409.96</v>
      </c>
      <c r="J230" t="s">
        <v>30</v>
      </c>
    </row>
    <row r="231" spans="1:10" x14ac:dyDescent="0.25">
      <c r="A231">
        <v>1070</v>
      </c>
      <c r="B231" t="s">
        <v>643</v>
      </c>
      <c r="C231">
        <v>54</v>
      </c>
      <c r="D231" t="s">
        <v>22</v>
      </c>
      <c r="E231">
        <v>45831</v>
      </c>
      <c r="F231">
        <v>45528</v>
      </c>
      <c r="G231" t="s">
        <v>644</v>
      </c>
      <c r="H231" t="s">
        <v>24</v>
      </c>
      <c r="I231" t="s">
        <v>645</v>
      </c>
      <c r="J231">
        <v>0</v>
      </c>
    </row>
    <row r="232" spans="1:10" x14ac:dyDescent="0.25">
      <c r="A232">
        <v>1097</v>
      </c>
      <c r="B232" t="s">
        <v>646</v>
      </c>
      <c r="C232">
        <v>52</v>
      </c>
      <c r="D232" t="s">
        <v>68</v>
      </c>
      <c r="E232">
        <v>46031</v>
      </c>
      <c r="F232">
        <v>45875</v>
      </c>
      <c r="G232" t="s">
        <v>647</v>
      </c>
      <c r="H232" t="s">
        <v>24</v>
      </c>
      <c r="I232" t="s">
        <v>648</v>
      </c>
      <c r="J232" t="s">
        <v>35</v>
      </c>
    </row>
    <row r="233" spans="1:10" x14ac:dyDescent="0.25">
      <c r="A233">
        <v>1056</v>
      </c>
      <c r="B233" t="s">
        <v>649</v>
      </c>
      <c r="C233">
        <v>70</v>
      </c>
      <c r="D233" t="s">
        <v>37</v>
      </c>
      <c r="E233">
        <v>46017</v>
      </c>
      <c r="F233">
        <v>45882</v>
      </c>
      <c r="G233" t="s">
        <v>650</v>
      </c>
      <c r="H233" t="s">
        <v>28</v>
      </c>
      <c r="I233">
        <v>364.83</v>
      </c>
      <c r="J233" t="s">
        <v>20</v>
      </c>
    </row>
    <row r="234" spans="1:10" x14ac:dyDescent="0.25">
      <c r="A234">
        <v>1078</v>
      </c>
      <c r="B234" t="s">
        <v>651</v>
      </c>
      <c r="C234">
        <v>56</v>
      </c>
      <c r="D234" t="s">
        <v>11</v>
      </c>
      <c r="E234">
        <v>45743</v>
      </c>
      <c r="F234">
        <v>45432</v>
      </c>
      <c r="G234" t="s">
        <v>652</v>
      </c>
      <c r="H234" t="s">
        <v>18</v>
      </c>
      <c r="I234">
        <v>335.95</v>
      </c>
      <c r="J234">
        <v>1</v>
      </c>
    </row>
    <row r="235" spans="1:10" x14ac:dyDescent="0.25">
      <c r="A235">
        <v>1031</v>
      </c>
      <c r="B235" t="s">
        <v>653</v>
      </c>
      <c r="C235">
        <v>29</v>
      </c>
      <c r="D235" t="s">
        <v>37</v>
      </c>
      <c r="E235">
        <v>45874</v>
      </c>
      <c r="F235">
        <v>45562</v>
      </c>
      <c r="G235" t="s">
        <v>654</v>
      </c>
      <c r="H235" t="s">
        <v>18</v>
      </c>
      <c r="J235" t="s">
        <v>20</v>
      </c>
    </row>
    <row r="236" spans="1:10" x14ac:dyDescent="0.25">
      <c r="A236">
        <v>1035</v>
      </c>
      <c r="B236" t="s">
        <v>655</v>
      </c>
      <c r="C236">
        <v>80</v>
      </c>
      <c r="D236" t="s">
        <v>49</v>
      </c>
      <c r="E236">
        <v>45872</v>
      </c>
      <c r="F236">
        <v>45750</v>
      </c>
      <c r="G236" t="s">
        <v>656</v>
      </c>
      <c r="H236" t="s">
        <v>24</v>
      </c>
      <c r="I236" t="s">
        <v>657</v>
      </c>
      <c r="J236" t="s">
        <v>35</v>
      </c>
    </row>
    <row r="237" spans="1:10" x14ac:dyDescent="0.25">
      <c r="A237">
        <v>1079</v>
      </c>
      <c r="B237" t="s">
        <v>658</v>
      </c>
      <c r="C237">
        <v>24</v>
      </c>
      <c r="D237" t="s">
        <v>22</v>
      </c>
      <c r="E237">
        <v>46038</v>
      </c>
      <c r="F237">
        <v>45402</v>
      </c>
      <c r="G237" t="s">
        <v>659</v>
      </c>
      <c r="H237" t="s">
        <v>13</v>
      </c>
      <c r="I237" t="s">
        <v>660</v>
      </c>
      <c r="J237" t="s">
        <v>57</v>
      </c>
    </row>
    <row r="238" spans="1:10" x14ac:dyDescent="0.25">
      <c r="A238">
        <v>1062</v>
      </c>
      <c r="B238" t="s">
        <v>661</v>
      </c>
      <c r="C238">
        <v>20</v>
      </c>
      <c r="D238" t="s">
        <v>22</v>
      </c>
      <c r="E238">
        <v>45823</v>
      </c>
      <c r="F238">
        <v>45758</v>
      </c>
      <c r="G238" t="s">
        <v>662</v>
      </c>
      <c r="H238" t="s">
        <v>13</v>
      </c>
      <c r="I238" t="s">
        <v>663</v>
      </c>
      <c r="J238">
        <v>1</v>
      </c>
    </row>
    <row r="239" spans="1:10" x14ac:dyDescent="0.25">
      <c r="A239">
        <v>1006</v>
      </c>
      <c r="B239" t="s">
        <v>664</v>
      </c>
      <c r="C239">
        <v>56</v>
      </c>
      <c r="D239">
        <v>0</v>
      </c>
      <c r="E239">
        <v>46056</v>
      </c>
      <c r="F239">
        <v>45520</v>
      </c>
      <c r="G239" t="s">
        <v>665</v>
      </c>
      <c r="H239" t="s">
        <v>28</v>
      </c>
      <c r="I239" t="s">
        <v>666</v>
      </c>
      <c r="J239">
        <v>1</v>
      </c>
    </row>
    <row r="240" spans="1:10" x14ac:dyDescent="0.25">
      <c r="A240">
        <v>1034</v>
      </c>
      <c r="B240" t="s">
        <v>667</v>
      </c>
      <c r="C240">
        <v>60</v>
      </c>
      <c r="D240" t="s">
        <v>11</v>
      </c>
      <c r="E240">
        <v>46033</v>
      </c>
      <c r="F240">
        <v>45863</v>
      </c>
      <c r="G240" t="s">
        <v>668</v>
      </c>
      <c r="H240" t="s">
        <v>24</v>
      </c>
      <c r="J240">
        <v>0</v>
      </c>
    </row>
    <row r="241" spans="1:10" x14ac:dyDescent="0.25">
      <c r="A241">
        <v>1021</v>
      </c>
      <c r="B241" t="s">
        <v>669</v>
      </c>
      <c r="C241">
        <v>51</v>
      </c>
      <c r="D241" t="s">
        <v>49</v>
      </c>
      <c r="E241">
        <v>46018</v>
      </c>
      <c r="F241">
        <v>45668</v>
      </c>
      <c r="G241" t="s">
        <v>670</v>
      </c>
      <c r="H241" t="s">
        <v>28</v>
      </c>
      <c r="I241" t="s">
        <v>671</v>
      </c>
      <c r="J241" t="s">
        <v>57</v>
      </c>
    </row>
    <row r="242" spans="1:10" x14ac:dyDescent="0.25">
      <c r="A242">
        <v>1089</v>
      </c>
      <c r="B242" t="s">
        <v>672</v>
      </c>
      <c r="C242">
        <v>72</v>
      </c>
      <c r="D242" t="s">
        <v>11</v>
      </c>
      <c r="E242">
        <v>46017</v>
      </c>
      <c r="F242">
        <v>45509</v>
      </c>
      <c r="G242" t="s">
        <v>673</v>
      </c>
      <c r="H242" t="s">
        <v>24</v>
      </c>
      <c r="I242" t="s">
        <v>674</v>
      </c>
      <c r="J242" t="s">
        <v>35</v>
      </c>
    </row>
    <row r="243" spans="1:10" x14ac:dyDescent="0.25">
      <c r="A243">
        <v>1054</v>
      </c>
      <c r="B243" t="s">
        <v>675</v>
      </c>
      <c r="C243">
        <v>74</v>
      </c>
      <c r="D243">
        <v>0</v>
      </c>
      <c r="E243">
        <v>46068</v>
      </c>
      <c r="F243">
        <v>45807</v>
      </c>
      <c r="G243" t="s">
        <v>676</v>
      </c>
      <c r="H243" t="s">
        <v>24</v>
      </c>
      <c r="I243" t="s">
        <v>677</v>
      </c>
      <c r="J243">
        <v>0</v>
      </c>
    </row>
    <row r="244" spans="1:10" x14ac:dyDescent="0.25">
      <c r="A244">
        <v>1026</v>
      </c>
      <c r="B244" t="s">
        <v>678</v>
      </c>
      <c r="C244">
        <v>80</v>
      </c>
      <c r="D244" t="s">
        <v>68</v>
      </c>
      <c r="E244">
        <v>45774</v>
      </c>
      <c r="F244">
        <v>45739</v>
      </c>
      <c r="G244" t="s">
        <v>679</v>
      </c>
      <c r="H244" t="s">
        <v>28</v>
      </c>
      <c r="I244" t="s">
        <v>680</v>
      </c>
      <c r="J244" t="s">
        <v>20</v>
      </c>
    </row>
    <row r="245" spans="1:10" x14ac:dyDescent="0.25">
      <c r="A245">
        <v>1015</v>
      </c>
      <c r="B245" t="s">
        <v>681</v>
      </c>
      <c r="C245">
        <v>53</v>
      </c>
      <c r="D245">
        <v>0</v>
      </c>
      <c r="E245">
        <v>45933</v>
      </c>
      <c r="F245">
        <v>45839</v>
      </c>
      <c r="G245" t="s">
        <v>682</v>
      </c>
      <c r="H245" t="s">
        <v>18</v>
      </c>
      <c r="I245" t="s">
        <v>683</v>
      </c>
      <c r="J245">
        <v>0</v>
      </c>
    </row>
    <row r="246" spans="1:10" x14ac:dyDescent="0.25">
      <c r="A246">
        <v>1015</v>
      </c>
      <c r="B246" t="s">
        <v>684</v>
      </c>
      <c r="C246">
        <v>88</v>
      </c>
      <c r="E246">
        <v>45949</v>
      </c>
      <c r="F246">
        <v>45813</v>
      </c>
      <c r="G246" t="s">
        <v>685</v>
      </c>
      <c r="H246" t="s">
        <v>18</v>
      </c>
      <c r="I246" t="s">
        <v>686</v>
      </c>
      <c r="J246">
        <v>1</v>
      </c>
    </row>
    <row r="247" spans="1:10" x14ac:dyDescent="0.25">
      <c r="A247">
        <v>1060</v>
      </c>
      <c r="B247" t="s">
        <v>687</v>
      </c>
      <c r="C247">
        <v>51</v>
      </c>
      <c r="D247" t="s">
        <v>11</v>
      </c>
      <c r="E247">
        <v>45844</v>
      </c>
      <c r="F247">
        <v>45765</v>
      </c>
      <c r="G247" t="s">
        <v>688</v>
      </c>
      <c r="H247" t="s">
        <v>28</v>
      </c>
      <c r="I247" t="s">
        <v>689</v>
      </c>
      <c r="J247" t="s">
        <v>20</v>
      </c>
    </row>
    <row r="248" spans="1:10" x14ac:dyDescent="0.25">
      <c r="A248">
        <v>1003</v>
      </c>
      <c r="B248" t="s">
        <v>690</v>
      </c>
      <c r="C248">
        <v>77</v>
      </c>
      <c r="D248" t="s">
        <v>68</v>
      </c>
      <c r="E248">
        <v>45811</v>
      </c>
      <c r="F248">
        <v>45430</v>
      </c>
      <c r="G248" t="s">
        <v>691</v>
      </c>
      <c r="H248" t="s">
        <v>18</v>
      </c>
      <c r="I248" t="s">
        <v>692</v>
      </c>
      <c r="J248">
        <v>1</v>
      </c>
    </row>
    <row r="249" spans="1:10" x14ac:dyDescent="0.25">
      <c r="A249">
        <v>1022</v>
      </c>
      <c r="B249" t="s">
        <v>693</v>
      </c>
      <c r="C249">
        <v>24</v>
      </c>
      <c r="D249" t="s">
        <v>37</v>
      </c>
      <c r="E249">
        <v>45888</v>
      </c>
      <c r="F249">
        <v>45787</v>
      </c>
      <c r="G249" t="s">
        <v>694</v>
      </c>
      <c r="H249" t="s">
        <v>24</v>
      </c>
      <c r="I249">
        <v>425.91</v>
      </c>
      <c r="J249" t="s">
        <v>35</v>
      </c>
    </row>
    <row r="250" spans="1:10" x14ac:dyDescent="0.25">
      <c r="A250">
        <v>1093</v>
      </c>
      <c r="B250" t="s">
        <v>695</v>
      </c>
      <c r="C250">
        <v>31</v>
      </c>
      <c r="E250">
        <v>45804</v>
      </c>
      <c r="F250">
        <v>45646</v>
      </c>
      <c r="G250" t="s">
        <v>696</v>
      </c>
      <c r="H250" t="s">
        <v>28</v>
      </c>
      <c r="I250" t="s">
        <v>697</v>
      </c>
      <c r="J250">
        <v>0</v>
      </c>
    </row>
    <row r="251" spans="1:10" x14ac:dyDescent="0.25">
      <c r="A251">
        <v>1089</v>
      </c>
      <c r="B251" t="s">
        <v>698</v>
      </c>
      <c r="C251">
        <v>47</v>
      </c>
      <c r="D251" t="s">
        <v>11</v>
      </c>
      <c r="E251">
        <v>46064</v>
      </c>
      <c r="F251">
        <v>45702</v>
      </c>
      <c r="G251" t="s">
        <v>699</v>
      </c>
      <c r="H251" t="s">
        <v>13</v>
      </c>
      <c r="I251" t="s">
        <v>700</v>
      </c>
      <c r="J251" t="s">
        <v>30</v>
      </c>
    </row>
    <row r="252" spans="1:10" x14ac:dyDescent="0.25">
      <c r="A252">
        <v>1094</v>
      </c>
      <c r="B252" t="s">
        <v>701</v>
      </c>
      <c r="C252">
        <v>74</v>
      </c>
      <c r="D252">
        <v>1</v>
      </c>
      <c r="E252">
        <v>45825</v>
      </c>
      <c r="F252">
        <v>45407</v>
      </c>
      <c r="G252" t="s">
        <v>702</v>
      </c>
      <c r="H252" t="s">
        <v>13</v>
      </c>
      <c r="I252" t="s">
        <v>703</v>
      </c>
      <c r="J252">
        <v>1</v>
      </c>
    </row>
    <row r="253" spans="1:10" x14ac:dyDescent="0.25">
      <c r="A253">
        <v>1016</v>
      </c>
      <c r="B253" t="s">
        <v>704</v>
      </c>
      <c r="C253">
        <v>36</v>
      </c>
      <c r="D253" t="s">
        <v>16</v>
      </c>
      <c r="E253">
        <v>45996</v>
      </c>
      <c r="F253">
        <v>45458</v>
      </c>
      <c r="G253" t="s">
        <v>705</v>
      </c>
      <c r="H253" t="s">
        <v>24</v>
      </c>
      <c r="I253">
        <v>108.6</v>
      </c>
      <c r="J253" t="s">
        <v>57</v>
      </c>
    </row>
    <row r="254" spans="1:10" x14ac:dyDescent="0.25">
      <c r="A254">
        <v>1045</v>
      </c>
      <c r="B254" t="s">
        <v>706</v>
      </c>
      <c r="C254">
        <v>34</v>
      </c>
      <c r="D254" t="s">
        <v>16</v>
      </c>
      <c r="E254">
        <v>45791</v>
      </c>
      <c r="F254">
        <v>45431</v>
      </c>
      <c r="G254" t="s">
        <v>707</v>
      </c>
      <c r="H254" t="s">
        <v>13</v>
      </c>
      <c r="I254" t="s">
        <v>708</v>
      </c>
      <c r="J254" t="s">
        <v>57</v>
      </c>
    </row>
    <row r="255" spans="1:10" x14ac:dyDescent="0.25">
      <c r="A255">
        <v>1036</v>
      </c>
      <c r="B255" t="s">
        <v>709</v>
      </c>
      <c r="C255">
        <v>29</v>
      </c>
      <c r="D255">
        <v>1</v>
      </c>
      <c r="E255">
        <v>46050</v>
      </c>
      <c r="F255">
        <v>45629</v>
      </c>
      <c r="G255" t="s">
        <v>710</v>
      </c>
      <c r="H255" t="s">
        <v>24</v>
      </c>
      <c r="I255" t="s">
        <v>711</v>
      </c>
      <c r="J255" t="s">
        <v>30</v>
      </c>
    </row>
    <row r="256" spans="1:10" x14ac:dyDescent="0.25">
      <c r="A256">
        <v>1031</v>
      </c>
      <c r="B256" t="s">
        <v>712</v>
      </c>
      <c r="C256">
        <v>42</v>
      </c>
      <c r="D256" t="s">
        <v>16</v>
      </c>
      <c r="E256">
        <v>45874</v>
      </c>
      <c r="F256">
        <v>45865</v>
      </c>
      <c r="G256" t="s">
        <v>713</v>
      </c>
      <c r="H256" t="s">
        <v>18</v>
      </c>
      <c r="I256" t="s">
        <v>714</v>
      </c>
      <c r="J256" t="s">
        <v>30</v>
      </c>
    </row>
    <row r="257" spans="1:10" x14ac:dyDescent="0.25">
      <c r="A257">
        <v>1097</v>
      </c>
      <c r="B257" t="s">
        <v>715</v>
      </c>
      <c r="C257">
        <v>35</v>
      </c>
      <c r="E257">
        <v>45766</v>
      </c>
      <c r="F257">
        <v>45758</v>
      </c>
      <c r="G257" t="s">
        <v>716</v>
      </c>
      <c r="H257" t="s">
        <v>13</v>
      </c>
      <c r="I257" t="s">
        <v>717</v>
      </c>
      <c r="J257" t="s">
        <v>57</v>
      </c>
    </row>
    <row r="258" spans="1:10" x14ac:dyDescent="0.25">
      <c r="A258">
        <v>1062</v>
      </c>
      <c r="B258" t="s">
        <v>718</v>
      </c>
      <c r="C258">
        <v>25</v>
      </c>
      <c r="D258" t="s">
        <v>49</v>
      </c>
      <c r="E258">
        <v>45936</v>
      </c>
      <c r="F258">
        <v>45456</v>
      </c>
      <c r="G258" t="s">
        <v>719</v>
      </c>
      <c r="H258" t="s">
        <v>13</v>
      </c>
      <c r="I258" t="s">
        <v>720</v>
      </c>
      <c r="J258">
        <v>0</v>
      </c>
    </row>
    <row r="259" spans="1:10" x14ac:dyDescent="0.25">
      <c r="A259">
        <v>1056</v>
      </c>
      <c r="B259" t="s">
        <v>721</v>
      </c>
      <c r="C259">
        <v>57</v>
      </c>
      <c r="D259" t="s">
        <v>11</v>
      </c>
      <c r="E259">
        <v>45828</v>
      </c>
      <c r="F259">
        <v>45701</v>
      </c>
      <c r="G259" t="s">
        <v>722</v>
      </c>
      <c r="H259" t="s">
        <v>24</v>
      </c>
      <c r="I259">
        <v>186.61</v>
      </c>
      <c r="J259">
        <v>1</v>
      </c>
    </row>
    <row r="260" spans="1:10" x14ac:dyDescent="0.25">
      <c r="A260">
        <v>1058</v>
      </c>
      <c r="B260" t="s">
        <v>723</v>
      </c>
      <c r="C260">
        <v>19</v>
      </c>
      <c r="D260">
        <v>1</v>
      </c>
      <c r="E260">
        <v>45788</v>
      </c>
      <c r="F260">
        <v>45749</v>
      </c>
      <c r="G260" t="s">
        <v>724</v>
      </c>
      <c r="H260" t="s">
        <v>24</v>
      </c>
      <c r="I260">
        <v>116.69</v>
      </c>
      <c r="J260" t="s">
        <v>35</v>
      </c>
    </row>
    <row r="261" spans="1:10" x14ac:dyDescent="0.25">
      <c r="A261">
        <v>1053</v>
      </c>
      <c r="B261" t="s">
        <v>725</v>
      </c>
      <c r="C261">
        <v>30</v>
      </c>
      <c r="D261" t="s">
        <v>11</v>
      </c>
      <c r="E261">
        <v>46105</v>
      </c>
      <c r="F261">
        <v>45377</v>
      </c>
      <c r="G261" t="s">
        <v>726</v>
      </c>
      <c r="H261" t="s">
        <v>28</v>
      </c>
      <c r="I261" t="s">
        <v>727</v>
      </c>
      <c r="J261">
        <v>0</v>
      </c>
    </row>
    <row r="262" spans="1:10" x14ac:dyDescent="0.25">
      <c r="A262">
        <v>1032</v>
      </c>
      <c r="B262" t="s">
        <v>728</v>
      </c>
      <c r="C262">
        <v>43</v>
      </c>
      <c r="D262" t="s">
        <v>16</v>
      </c>
      <c r="E262">
        <v>45830</v>
      </c>
      <c r="F262">
        <v>45682</v>
      </c>
      <c r="G262" t="s">
        <v>729</v>
      </c>
      <c r="H262" t="s">
        <v>24</v>
      </c>
      <c r="I262" t="s">
        <v>730</v>
      </c>
      <c r="J262">
        <v>0</v>
      </c>
    </row>
    <row r="263" spans="1:10" x14ac:dyDescent="0.25">
      <c r="A263">
        <v>1049</v>
      </c>
      <c r="B263" t="s">
        <v>731</v>
      </c>
      <c r="C263">
        <v>79</v>
      </c>
      <c r="D263">
        <v>1</v>
      </c>
      <c r="E263">
        <v>45997</v>
      </c>
      <c r="F263">
        <v>45544</v>
      </c>
      <c r="G263" t="s">
        <v>732</v>
      </c>
      <c r="H263" t="s">
        <v>24</v>
      </c>
      <c r="J263" t="s">
        <v>30</v>
      </c>
    </row>
    <row r="264" spans="1:10" x14ac:dyDescent="0.25">
      <c r="A264">
        <v>1068</v>
      </c>
      <c r="B264" t="s">
        <v>733</v>
      </c>
      <c r="C264">
        <v>61</v>
      </c>
      <c r="D264" t="s">
        <v>68</v>
      </c>
      <c r="E264">
        <v>45950</v>
      </c>
      <c r="F264">
        <v>45876</v>
      </c>
      <c r="G264" t="s">
        <v>734</v>
      </c>
      <c r="H264" t="s">
        <v>24</v>
      </c>
      <c r="I264">
        <v>129.47999999999999</v>
      </c>
      <c r="J264" t="s">
        <v>57</v>
      </c>
    </row>
    <row r="265" spans="1:10" x14ac:dyDescent="0.25">
      <c r="A265">
        <v>1015</v>
      </c>
      <c r="B265" t="s">
        <v>735</v>
      </c>
      <c r="C265">
        <v>53</v>
      </c>
      <c r="D265" t="s">
        <v>49</v>
      </c>
      <c r="E265">
        <v>45768</v>
      </c>
      <c r="F265">
        <v>45529</v>
      </c>
      <c r="G265" t="s">
        <v>736</v>
      </c>
      <c r="H265" t="s">
        <v>28</v>
      </c>
      <c r="I265" t="s">
        <v>737</v>
      </c>
      <c r="J265" t="s">
        <v>30</v>
      </c>
    </row>
    <row r="266" spans="1:10" x14ac:dyDescent="0.25">
      <c r="A266">
        <v>1090</v>
      </c>
      <c r="B266" t="s">
        <v>738</v>
      </c>
      <c r="C266">
        <v>70</v>
      </c>
      <c r="D266" t="s">
        <v>37</v>
      </c>
      <c r="E266">
        <v>46000</v>
      </c>
      <c r="F266">
        <v>45612</v>
      </c>
      <c r="G266" t="s">
        <v>739</v>
      </c>
      <c r="H266" t="s">
        <v>18</v>
      </c>
      <c r="I266" t="s">
        <v>740</v>
      </c>
      <c r="J266" t="s">
        <v>20</v>
      </c>
    </row>
    <row r="267" spans="1:10" x14ac:dyDescent="0.25">
      <c r="A267">
        <v>1086</v>
      </c>
      <c r="B267" t="s">
        <v>741</v>
      </c>
      <c r="C267">
        <v>72</v>
      </c>
      <c r="D267">
        <v>0</v>
      </c>
      <c r="E267">
        <v>46091</v>
      </c>
      <c r="F267">
        <v>45952</v>
      </c>
      <c r="G267" t="s">
        <v>742</v>
      </c>
      <c r="H267" t="s">
        <v>18</v>
      </c>
      <c r="I267" t="s">
        <v>743</v>
      </c>
      <c r="J267">
        <v>0</v>
      </c>
    </row>
    <row r="268" spans="1:10" x14ac:dyDescent="0.25">
      <c r="A268">
        <v>1088</v>
      </c>
      <c r="B268" t="s">
        <v>744</v>
      </c>
      <c r="C268">
        <v>49</v>
      </c>
      <c r="D268" t="s">
        <v>37</v>
      </c>
      <c r="E268">
        <v>45915</v>
      </c>
      <c r="F268">
        <v>45687</v>
      </c>
      <c r="G268" t="s">
        <v>745</v>
      </c>
      <c r="H268" t="s">
        <v>28</v>
      </c>
      <c r="I268" t="s">
        <v>746</v>
      </c>
      <c r="J268" t="s">
        <v>20</v>
      </c>
    </row>
    <row r="269" spans="1:10" x14ac:dyDescent="0.25">
      <c r="A269">
        <v>1034</v>
      </c>
      <c r="B269" t="s">
        <v>747</v>
      </c>
      <c r="C269">
        <v>44</v>
      </c>
      <c r="E269">
        <v>45854</v>
      </c>
      <c r="F269">
        <v>45820</v>
      </c>
      <c r="G269" t="s">
        <v>748</v>
      </c>
      <c r="H269" t="s">
        <v>24</v>
      </c>
      <c r="I269">
        <v>417.38</v>
      </c>
      <c r="J269" t="s">
        <v>35</v>
      </c>
    </row>
    <row r="270" spans="1:10" x14ac:dyDescent="0.25">
      <c r="A270">
        <v>1070</v>
      </c>
      <c r="B270" t="s">
        <v>749</v>
      </c>
      <c r="C270">
        <v>68</v>
      </c>
      <c r="D270" t="s">
        <v>11</v>
      </c>
      <c r="E270">
        <v>45807</v>
      </c>
      <c r="F270">
        <v>45426</v>
      </c>
      <c r="G270" t="s">
        <v>750</v>
      </c>
      <c r="H270" t="s">
        <v>28</v>
      </c>
      <c r="I270" t="s">
        <v>751</v>
      </c>
      <c r="J270" t="s">
        <v>35</v>
      </c>
    </row>
    <row r="271" spans="1:10" x14ac:dyDescent="0.25">
      <c r="A271">
        <v>1032</v>
      </c>
      <c r="B271" t="s">
        <v>752</v>
      </c>
      <c r="C271">
        <v>88</v>
      </c>
      <c r="D271" t="s">
        <v>22</v>
      </c>
      <c r="E271">
        <v>46044</v>
      </c>
      <c r="F271">
        <v>45389</v>
      </c>
      <c r="G271" t="s">
        <v>753</v>
      </c>
      <c r="H271" t="s">
        <v>28</v>
      </c>
      <c r="I271" t="s">
        <v>754</v>
      </c>
      <c r="J271" t="s">
        <v>30</v>
      </c>
    </row>
    <row r="272" spans="1:10" x14ac:dyDescent="0.25">
      <c r="A272">
        <v>1036</v>
      </c>
      <c r="B272" t="s">
        <v>755</v>
      </c>
      <c r="C272">
        <v>75</v>
      </c>
      <c r="D272">
        <v>1</v>
      </c>
      <c r="E272">
        <v>46076</v>
      </c>
      <c r="F272">
        <v>45581</v>
      </c>
      <c r="G272" t="s">
        <v>756</v>
      </c>
      <c r="H272" t="s">
        <v>13</v>
      </c>
      <c r="I272" t="s">
        <v>757</v>
      </c>
      <c r="J272" t="s">
        <v>57</v>
      </c>
    </row>
    <row r="273" spans="1:10" x14ac:dyDescent="0.25">
      <c r="A273">
        <v>1098</v>
      </c>
      <c r="B273" t="s">
        <v>758</v>
      </c>
      <c r="C273">
        <v>88</v>
      </c>
      <c r="D273" t="s">
        <v>37</v>
      </c>
      <c r="E273">
        <v>46067</v>
      </c>
      <c r="F273">
        <v>45653</v>
      </c>
      <c r="G273" t="s">
        <v>759</v>
      </c>
      <c r="H273" t="s">
        <v>18</v>
      </c>
      <c r="I273">
        <v>481.92</v>
      </c>
      <c r="J273">
        <v>0</v>
      </c>
    </row>
    <row r="274" spans="1:10" x14ac:dyDescent="0.25">
      <c r="A274">
        <v>1071</v>
      </c>
      <c r="B274" t="s">
        <v>760</v>
      </c>
      <c r="C274">
        <v>49</v>
      </c>
      <c r="D274" t="s">
        <v>68</v>
      </c>
      <c r="E274">
        <v>45801</v>
      </c>
      <c r="F274">
        <v>45636</v>
      </c>
      <c r="G274" t="s">
        <v>761</v>
      </c>
      <c r="H274" t="s">
        <v>18</v>
      </c>
      <c r="I274" t="s">
        <v>762</v>
      </c>
      <c r="J274" t="s">
        <v>57</v>
      </c>
    </row>
    <row r="275" spans="1:10" x14ac:dyDescent="0.25">
      <c r="A275">
        <v>1054</v>
      </c>
      <c r="B275" t="s">
        <v>763</v>
      </c>
      <c r="C275">
        <v>82</v>
      </c>
      <c r="D275">
        <v>1</v>
      </c>
      <c r="E275">
        <v>45984</v>
      </c>
      <c r="F275">
        <v>45633</v>
      </c>
      <c r="G275" t="s">
        <v>764</v>
      </c>
      <c r="H275" t="s">
        <v>13</v>
      </c>
      <c r="I275" t="s">
        <v>765</v>
      </c>
      <c r="J275" t="s">
        <v>35</v>
      </c>
    </row>
    <row r="276" spans="1:10" x14ac:dyDescent="0.25">
      <c r="A276">
        <v>1054</v>
      </c>
      <c r="B276" t="s">
        <v>766</v>
      </c>
      <c r="C276">
        <v>62</v>
      </c>
      <c r="D276" t="s">
        <v>68</v>
      </c>
      <c r="E276">
        <v>46038</v>
      </c>
      <c r="F276">
        <v>45852</v>
      </c>
      <c r="G276" t="s">
        <v>767</v>
      </c>
      <c r="H276" t="s">
        <v>18</v>
      </c>
      <c r="J276" t="s">
        <v>30</v>
      </c>
    </row>
    <row r="277" spans="1:10" x14ac:dyDescent="0.25">
      <c r="A277">
        <v>1090</v>
      </c>
      <c r="B277" t="s">
        <v>768</v>
      </c>
      <c r="C277">
        <v>55</v>
      </c>
      <c r="D277">
        <v>0</v>
      </c>
      <c r="E277">
        <v>45921</v>
      </c>
      <c r="F277">
        <v>45461</v>
      </c>
      <c r="G277" t="s">
        <v>769</v>
      </c>
      <c r="H277" t="s">
        <v>18</v>
      </c>
      <c r="I277">
        <v>202.41</v>
      </c>
      <c r="J277">
        <v>0</v>
      </c>
    </row>
    <row r="278" spans="1:10" x14ac:dyDescent="0.25">
      <c r="A278">
        <v>1027</v>
      </c>
      <c r="B278" t="s">
        <v>770</v>
      </c>
      <c r="C278">
        <v>83</v>
      </c>
      <c r="D278">
        <v>1</v>
      </c>
      <c r="E278">
        <v>45834</v>
      </c>
      <c r="F278">
        <v>45820</v>
      </c>
      <c r="G278" t="s">
        <v>771</v>
      </c>
      <c r="H278" t="s">
        <v>24</v>
      </c>
      <c r="I278">
        <v>225.1</v>
      </c>
      <c r="J278" t="s">
        <v>35</v>
      </c>
    </row>
    <row r="279" spans="1:10" x14ac:dyDescent="0.25">
      <c r="A279">
        <v>1017</v>
      </c>
      <c r="B279" t="s">
        <v>772</v>
      </c>
      <c r="C279">
        <v>86</v>
      </c>
      <c r="D279" t="s">
        <v>16</v>
      </c>
      <c r="E279">
        <v>45805</v>
      </c>
      <c r="F279">
        <v>45483</v>
      </c>
      <c r="G279" t="s">
        <v>773</v>
      </c>
      <c r="H279" t="s">
        <v>13</v>
      </c>
      <c r="J279">
        <v>1</v>
      </c>
    </row>
    <row r="280" spans="1:10" x14ac:dyDescent="0.25">
      <c r="A280">
        <v>1027</v>
      </c>
      <c r="B280" t="s">
        <v>774</v>
      </c>
      <c r="C280">
        <v>77</v>
      </c>
      <c r="D280" t="s">
        <v>37</v>
      </c>
      <c r="E280">
        <v>45919</v>
      </c>
      <c r="F280">
        <v>45524</v>
      </c>
      <c r="G280" t="s">
        <v>775</v>
      </c>
      <c r="H280" t="s">
        <v>13</v>
      </c>
      <c r="I280" t="s">
        <v>776</v>
      </c>
      <c r="J280" t="s">
        <v>20</v>
      </c>
    </row>
    <row r="281" spans="1:10" x14ac:dyDescent="0.25">
      <c r="A281">
        <v>1026</v>
      </c>
      <c r="B281" t="s">
        <v>777</v>
      </c>
      <c r="C281">
        <v>47</v>
      </c>
      <c r="D281" t="s">
        <v>16</v>
      </c>
      <c r="E281">
        <v>46028</v>
      </c>
      <c r="F281">
        <v>45576</v>
      </c>
      <c r="G281" t="s">
        <v>778</v>
      </c>
      <c r="H281" t="s">
        <v>24</v>
      </c>
      <c r="I281">
        <v>400.52</v>
      </c>
      <c r="J281" t="s">
        <v>35</v>
      </c>
    </row>
    <row r="282" spans="1:10" x14ac:dyDescent="0.25">
      <c r="A282">
        <v>1080</v>
      </c>
      <c r="B282" t="s">
        <v>779</v>
      </c>
      <c r="C282">
        <v>69</v>
      </c>
      <c r="D282" t="s">
        <v>68</v>
      </c>
      <c r="E282">
        <v>45945</v>
      </c>
      <c r="F282">
        <v>45819</v>
      </c>
      <c r="G282" t="s">
        <v>780</v>
      </c>
      <c r="H282" t="s">
        <v>28</v>
      </c>
      <c r="I282" t="s">
        <v>781</v>
      </c>
      <c r="J282">
        <v>0</v>
      </c>
    </row>
    <row r="283" spans="1:10" x14ac:dyDescent="0.25">
      <c r="A283">
        <v>1039</v>
      </c>
      <c r="B283" t="s">
        <v>782</v>
      </c>
      <c r="C283">
        <v>40</v>
      </c>
      <c r="D283">
        <v>0</v>
      </c>
      <c r="E283">
        <v>45903</v>
      </c>
      <c r="F283">
        <v>45390</v>
      </c>
      <c r="G283" t="s">
        <v>783</v>
      </c>
      <c r="H283" t="s">
        <v>13</v>
      </c>
      <c r="I283" t="s">
        <v>784</v>
      </c>
      <c r="J283" t="s">
        <v>35</v>
      </c>
    </row>
    <row r="284" spans="1:10" x14ac:dyDescent="0.25">
      <c r="A284">
        <v>1059</v>
      </c>
      <c r="B284" t="s">
        <v>785</v>
      </c>
      <c r="C284">
        <v>32</v>
      </c>
      <c r="D284" t="s">
        <v>49</v>
      </c>
      <c r="E284">
        <v>46092</v>
      </c>
      <c r="F284">
        <v>45861</v>
      </c>
      <c r="G284" t="s">
        <v>786</v>
      </c>
      <c r="H284" t="s">
        <v>28</v>
      </c>
      <c r="I284">
        <v>300.70999999999998</v>
      </c>
      <c r="J284" t="s">
        <v>35</v>
      </c>
    </row>
    <row r="285" spans="1:10" x14ac:dyDescent="0.25">
      <c r="A285">
        <v>1043</v>
      </c>
      <c r="B285" t="s">
        <v>787</v>
      </c>
      <c r="C285">
        <v>66</v>
      </c>
      <c r="D285">
        <v>1</v>
      </c>
      <c r="E285">
        <v>45983</v>
      </c>
      <c r="F285">
        <v>45907</v>
      </c>
      <c r="G285" t="s">
        <v>788</v>
      </c>
      <c r="H285" t="s">
        <v>24</v>
      </c>
      <c r="I285" t="s">
        <v>789</v>
      </c>
      <c r="J285" t="s">
        <v>35</v>
      </c>
    </row>
    <row r="286" spans="1:10" x14ac:dyDescent="0.25">
      <c r="A286">
        <v>1066</v>
      </c>
      <c r="B286" t="s">
        <v>790</v>
      </c>
      <c r="C286">
        <v>28</v>
      </c>
      <c r="D286" t="s">
        <v>68</v>
      </c>
      <c r="E286">
        <v>45910</v>
      </c>
      <c r="F286">
        <v>45768</v>
      </c>
      <c r="G286" t="s">
        <v>791</v>
      </c>
      <c r="H286" t="s">
        <v>13</v>
      </c>
      <c r="I286" t="s">
        <v>792</v>
      </c>
      <c r="J286">
        <v>1</v>
      </c>
    </row>
    <row r="287" spans="1:10" x14ac:dyDescent="0.25">
      <c r="A287">
        <v>1040</v>
      </c>
      <c r="B287" t="s">
        <v>793</v>
      </c>
      <c r="C287">
        <v>35</v>
      </c>
      <c r="D287" t="s">
        <v>22</v>
      </c>
      <c r="E287">
        <v>45888</v>
      </c>
      <c r="F287">
        <v>45823</v>
      </c>
      <c r="G287" t="s">
        <v>794</v>
      </c>
      <c r="H287" t="s">
        <v>28</v>
      </c>
      <c r="I287" t="s">
        <v>795</v>
      </c>
      <c r="J287" t="s">
        <v>57</v>
      </c>
    </row>
    <row r="288" spans="1:10" x14ac:dyDescent="0.25">
      <c r="A288">
        <v>1090</v>
      </c>
      <c r="B288" t="s">
        <v>796</v>
      </c>
      <c r="C288">
        <v>25</v>
      </c>
      <c r="D288" t="s">
        <v>37</v>
      </c>
      <c r="E288">
        <v>45974</v>
      </c>
      <c r="F288">
        <v>45639</v>
      </c>
      <c r="G288" t="s">
        <v>797</v>
      </c>
      <c r="H288" t="s">
        <v>28</v>
      </c>
      <c r="I288" t="s">
        <v>798</v>
      </c>
      <c r="J288">
        <v>1</v>
      </c>
    </row>
    <row r="289" spans="1:10" x14ac:dyDescent="0.25">
      <c r="A289">
        <v>1003</v>
      </c>
      <c r="B289" t="s">
        <v>799</v>
      </c>
      <c r="C289">
        <v>81</v>
      </c>
      <c r="D289" t="s">
        <v>11</v>
      </c>
      <c r="E289">
        <v>45799</v>
      </c>
      <c r="F289">
        <v>45397</v>
      </c>
      <c r="G289" t="s">
        <v>800</v>
      </c>
      <c r="H289" t="s">
        <v>24</v>
      </c>
      <c r="I289" t="s">
        <v>801</v>
      </c>
      <c r="J289" t="s">
        <v>20</v>
      </c>
    </row>
    <row r="290" spans="1:10" x14ac:dyDescent="0.25">
      <c r="A290">
        <v>1054</v>
      </c>
      <c r="B290" t="s">
        <v>802</v>
      </c>
      <c r="C290">
        <v>30</v>
      </c>
      <c r="D290" t="s">
        <v>49</v>
      </c>
      <c r="E290">
        <v>46075</v>
      </c>
      <c r="F290">
        <v>45842</v>
      </c>
      <c r="G290" t="s">
        <v>803</v>
      </c>
      <c r="H290" t="s">
        <v>28</v>
      </c>
      <c r="I290" t="s">
        <v>804</v>
      </c>
      <c r="J290" t="s">
        <v>57</v>
      </c>
    </row>
    <row r="291" spans="1:10" x14ac:dyDescent="0.25">
      <c r="A291">
        <v>1003</v>
      </c>
      <c r="B291" t="s">
        <v>805</v>
      </c>
      <c r="C291">
        <v>41</v>
      </c>
      <c r="D291">
        <v>0</v>
      </c>
      <c r="E291">
        <v>45791</v>
      </c>
      <c r="F291">
        <v>45387</v>
      </c>
      <c r="G291" t="s">
        <v>467</v>
      </c>
      <c r="H291" t="s">
        <v>28</v>
      </c>
      <c r="I291" t="s">
        <v>806</v>
      </c>
      <c r="J291" t="s">
        <v>30</v>
      </c>
    </row>
    <row r="292" spans="1:10" x14ac:dyDescent="0.25">
      <c r="A292">
        <v>1011</v>
      </c>
      <c r="B292" t="s">
        <v>807</v>
      </c>
      <c r="C292">
        <v>54</v>
      </c>
      <c r="D292">
        <v>0</v>
      </c>
      <c r="E292">
        <v>46066</v>
      </c>
      <c r="F292">
        <v>45602</v>
      </c>
      <c r="G292" t="s">
        <v>808</v>
      </c>
      <c r="H292" t="s">
        <v>18</v>
      </c>
      <c r="I292" t="s">
        <v>809</v>
      </c>
      <c r="J292" t="s">
        <v>57</v>
      </c>
    </row>
    <row r="293" spans="1:10" x14ac:dyDescent="0.25">
      <c r="A293">
        <v>1029</v>
      </c>
      <c r="B293" t="s">
        <v>810</v>
      </c>
      <c r="C293">
        <v>30</v>
      </c>
      <c r="D293" t="s">
        <v>16</v>
      </c>
      <c r="E293">
        <v>45857</v>
      </c>
      <c r="F293">
        <v>45789</v>
      </c>
      <c r="G293" t="s">
        <v>811</v>
      </c>
      <c r="H293" t="s">
        <v>18</v>
      </c>
      <c r="I293">
        <v>451.11</v>
      </c>
      <c r="J293" t="s">
        <v>57</v>
      </c>
    </row>
    <row r="294" spans="1:10" x14ac:dyDescent="0.25">
      <c r="A294">
        <v>1051</v>
      </c>
      <c r="B294" t="s">
        <v>812</v>
      </c>
      <c r="C294">
        <v>53</v>
      </c>
      <c r="D294">
        <v>0</v>
      </c>
      <c r="E294">
        <v>45837</v>
      </c>
      <c r="F294">
        <v>45548</v>
      </c>
      <c r="G294" t="s">
        <v>813</v>
      </c>
      <c r="H294" t="s">
        <v>24</v>
      </c>
      <c r="I294" t="s">
        <v>814</v>
      </c>
      <c r="J294" t="s">
        <v>30</v>
      </c>
    </row>
    <row r="295" spans="1:10" x14ac:dyDescent="0.25">
      <c r="A295">
        <v>1041</v>
      </c>
      <c r="B295" t="s">
        <v>815</v>
      </c>
      <c r="C295">
        <v>65</v>
      </c>
      <c r="D295">
        <v>1</v>
      </c>
      <c r="E295">
        <v>45958</v>
      </c>
      <c r="F295">
        <v>45887</v>
      </c>
      <c r="G295" t="s">
        <v>816</v>
      </c>
      <c r="H295" t="s">
        <v>24</v>
      </c>
      <c r="I295" t="s">
        <v>817</v>
      </c>
      <c r="J295" t="s">
        <v>57</v>
      </c>
    </row>
    <row r="296" spans="1:10" x14ac:dyDescent="0.25">
      <c r="A296">
        <v>1004</v>
      </c>
      <c r="B296" t="s">
        <v>818</v>
      </c>
      <c r="C296">
        <v>64</v>
      </c>
      <c r="E296">
        <v>46093</v>
      </c>
      <c r="F296">
        <v>45447</v>
      </c>
      <c r="G296" t="s">
        <v>819</v>
      </c>
      <c r="H296" t="s">
        <v>28</v>
      </c>
      <c r="I296">
        <v>124.85</v>
      </c>
      <c r="J296">
        <v>1</v>
      </c>
    </row>
    <row r="297" spans="1:10" x14ac:dyDescent="0.25">
      <c r="A297">
        <v>1054</v>
      </c>
      <c r="B297" t="s">
        <v>820</v>
      </c>
      <c r="C297">
        <v>78</v>
      </c>
      <c r="D297" t="s">
        <v>68</v>
      </c>
      <c r="E297">
        <v>46016</v>
      </c>
      <c r="F297">
        <v>45639</v>
      </c>
      <c r="G297" t="s">
        <v>821</v>
      </c>
      <c r="H297" t="s">
        <v>24</v>
      </c>
      <c r="I297">
        <v>370.37</v>
      </c>
      <c r="J297" t="s">
        <v>30</v>
      </c>
    </row>
    <row r="298" spans="1:10" x14ac:dyDescent="0.25">
      <c r="A298">
        <v>1006</v>
      </c>
      <c r="B298" t="s">
        <v>822</v>
      </c>
      <c r="C298">
        <v>63</v>
      </c>
      <c r="D298" t="s">
        <v>22</v>
      </c>
      <c r="E298">
        <v>46004</v>
      </c>
      <c r="F298">
        <v>45721</v>
      </c>
      <c r="G298" t="s">
        <v>823</v>
      </c>
      <c r="H298" t="s">
        <v>24</v>
      </c>
      <c r="I298" t="s">
        <v>824</v>
      </c>
      <c r="J298" t="s">
        <v>57</v>
      </c>
    </row>
    <row r="299" spans="1:10" x14ac:dyDescent="0.25">
      <c r="A299">
        <v>1076</v>
      </c>
      <c r="B299" t="s">
        <v>825</v>
      </c>
      <c r="C299">
        <v>23</v>
      </c>
      <c r="D299" t="s">
        <v>68</v>
      </c>
      <c r="E299">
        <v>45935</v>
      </c>
      <c r="F299">
        <v>45736</v>
      </c>
      <c r="G299" t="s">
        <v>826</v>
      </c>
      <c r="H299" t="s">
        <v>28</v>
      </c>
      <c r="J299" t="s">
        <v>30</v>
      </c>
    </row>
    <row r="300" spans="1:10" x14ac:dyDescent="0.25">
      <c r="A300">
        <v>1054</v>
      </c>
      <c r="B300" t="s">
        <v>827</v>
      </c>
      <c r="C300">
        <v>70</v>
      </c>
      <c r="D300">
        <v>0</v>
      </c>
      <c r="E300">
        <v>45964</v>
      </c>
      <c r="F300">
        <v>45824</v>
      </c>
      <c r="G300" t="s">
        <v>828</v>
      </c>
      <c r="H300" t="s">
        <v>13</v>
      </c>
      <c r="I300" t="s">
        <v>829</v>
      </c>
      <c r="J300" t="s">
        <v>35</v>
      </c>
    </row>
    <row r="301" spans="1:10" x14ac:dyDescent="0.25">
      <c r="A301">
        <v>1021</v>
      </c>
      <c r="B301" t="s">
        <v>830</v>
      </c>
      <c r="C301">
        <v>54</v>
      </c>
      <c r="D301" t="s">
        <v>49</v>
      </c>
      <c r="E301">
        <v>45920</v>
      </c>
      <c r="F301">
        <v>45467</v>
      </c>
      <c r="G301" t="s">
        <v>831</v>
      </c>
      <c r="H301" t="s">
        <v>13</v>
      </c>
      <c r="I301" t="s">
        <v>832</v>
      </c>
      <c r="J301">
        <v>0</v>
      </c>
    </row>
    <row r="302" spans="1:10" x14ac:dyDescent="0.25">
      <c r="A302">
        <v>1015</v>
      </c>
      <c r="B302" t="s">
        <v>833</v>
      </c>
      <c r="C302">
        <v>50</v>
      </c>
      <c r="D302">
        <v>0</v>
      </c>
      <c r="E302">
        <v>45894</v>
      </c>
      <c r="F302">
        <v>45461</v>
      </c>
      <c r="G302" t="s">
        <v>834</v>
      </c>
      <c r="H302" t="s">
        <v>24</v>
      </c>
      <c r="I302">
        <v>63.38</v>
      </c>
      <c r="J302" t="s">
        <v>35</v>
      </c>
    </row>
    <row r="303" spans="1:10" x14ac:dyDescent="0.25">
      <c r="A303">
        <v>1014</v>
      </c>
      <c r="B303" t="s">
        <v>835</v>
      </c>
      <c r="C303">
        <v>79</v>
      </c>
      <c r="D303">
        <v>0</v>
      </c>
      <c r="E303">
        <v>46050</v>
      </c>
      <c r="F303">
        <v>45385</v>
      </c>
      <c r="G303" t="s">
        <v>836</v>
      </c>
      <c r="H303" t="s">
        <v>24</v>
      </c>
      <c r="I303" t="s">
        <v>837</v>
      </c>
      <c r="J303" t="s">
        <v>35</v>
      </c>
    </row>
    <row r="304" spans="1:10" x14ac:dyDescent="0.25">
      <c r="A304">
        <v>1088</v>
      </c>
      <c r="B304" t="s">
        <v>838</v>
      </c>
      <c r="C304">
        <v>83</v>
      </c>
      <c r="D304" t="s">
        <v>68</v>
      </c>
      <c r="E304">
        <v>46025</v>
      </c>
      <c r="F304">
        <v>45647</v>
      </c>
      <c r="G304" t="s">
        <v>839</v>
      </c>
      <c r="H304" t="s">
        <v>18</v>
      </c>
      <c r="I304">
        <v>483.19</v>
      </c>
      <c r="J304" t="s">
        <v>35</v>
      </c>
    </row>
    <row r="305" spans="1:10" x14ac:dyDescent="0.25">
      <c r="A305">
        <v>1034</v>
      </c>
      <c r="B305" t="s">
        <v>840</v>
      </c>
      <c r="C305">
        <v>37</v>
      </c>
      <c r="D305">
        <v>0</v>
      </c>
      <c r="E305">
        <v>45939</v>
      </c>
      <c r="F305">
        <v>45752</v>
      </c>
      <c r="G305" t="s">
        <v>841</v>
      </c>
      <c r="H305" t="s">
        <v>24</v>
      </c>
      <c r="I305" t="s">
        <v>842</v>
      </c>
      <c r="J305" t="s">
        <v>57</v>
      </c>
    </row>
    <row r="306" spans="1:10" x14ac:dyDescent="0.25">
      <c r="A306">
        <v>1020</v>
      </c>
      <c r="B306" t="s">
        <v>843</v>
      </c>
      <c r="C306">
        <v>40</v>
      </c>
      <c r="D306" t="s">
        <v>11</v>
      </c>
      <c r="E306">
        <v>46036</v>
      </c>
      <c r="F306">
        <v>45974</v>
      </c>
      <c r="G306" t="s">
        <v>844</v>
      </c>
      <c r="H306" t="s">
        <v>24</v>
      </c>
      <c r="I306" t="s">
        <v>845</v>
      </c>
      <c r="J306" t="s">
        <v>57</v>
      </c>
    </row>
    <row r="307" spans="1:10" x14ac:dyDescent="0.25">
      <c r="A307">
        <v>1053</v>
      </c>
      <c r="B307" t="s">
        <v>846</v>
      </c>
      <c r="C307">
        <v>76</v>
      </c>
      <c r="D307" t="s">
        <v>68</v>
      </c>
      <c r="E307">
        <v>45827</v>
      </c>
      <c r="F307">
        <v>45777</v>
      </c>
      <c r="G307" t="s">
        <v>847</v>
      </c>
      <c r="H307" t="s">
        <v>13</v>
      </c>
      <c r="I307" t="s">
        <v>848</v>
      </c>
      <c r="J307">
        <v>0</v>
      </c>
    </row>
    <row r="308" spans="1:10" x14ac:dyDescent="0.25">
      <c r="A308">
        <v>1011</v>
      </c>
      <c r="B308" t="s">
        <v>849</v>
      </c>
      <c r="C308">
        <v>60</v>
      </c>
      <c r="D308" t="s">
        <v>68</v>
      </c>
      <c r="E308">
        <v>45830</v>
      </c>
      <c r="F308">
        <v>45408</v>
      </c>
      <c r="G308" t="s">
        <v>850</v>
      </c>
      <c r="H308" t="s">
        <v>13</v>
      </c>
      <c r="I308" t="s">
        <v>851</v>
      </c>
      <c r="J308">
        <v>0</v>
      </c>
    </row>
    <row r="309" spans="1:10" x14ac:dyDescent="0.25">
      <c r="A309">
        <v>1074</v>
      </c>
      <c r="B309" t="s">
        <v>852</v>
      </c>
      <c r="C309">
        <v>51</v>
      </c>
      <c r="D309" t="s">
        <v>22</v>
      </c>
      <c r="E309">
        <v>46019</v>
      </c>
      <c r="F309">
        <v>45764</v>
      </c>
      <c r="G309" t="s">
        <v>853</v>
      </c>
      <c r="H309" t="s">
        <v>28</v>
      </c>
      <c r="I309" t="s">
        <v>854</v>
      </c>
      <c r="J309" t="s">
        <v>57</v>
      </c>
    </row>
    <row r="310" spans="1:10" x14ac:dyDescent="0.25">
      <c r="A310">
        <v>1051</v>
      </c>
      <c r="B310" t="s">
        <v>855</v>
      </c>
      <c r="C310">
        <v>52</v>
      </c>
      <c r="D310">
        <v>0</v>
      </c>
      <c r="E310">
        <v>45907</v>
      </c>
      <c r="F310">
        <v>45405</v>
      </c>
      <c r="G310" t="s">
        <v>856</v>
      </c>
      <c r="H310" t="s">
        <v>13</v>
      </c>
      <c r="I310" t="s">
        <v>857</v>
      </c>
      <c r="J310">
        <v>1</v>
      </c>
    </row>
    <row r="311" spans="1:10" x14ac:dyDescent="0.25">
      <c r="A311">
        <v>1029</v>
      </c>
      <c r="B311" t="s">
        <v>858</v>
      </c>
      <c r="C311">
        <v>43</v>
      </c>
      <c r="D311" t="s">
        <v>11</v>
      </c>
      <c r="E311">
        <v>45925</v>
      </c>
      <c r="F311">
        <v>45595</v>
      </c>
      <c r="G311" t="s">
        <v>859</v>
      </c>
      <c r="H311" t="s">
        <v>13</v>
      </c>
      <c r="I311" t="s">
        <v>860</v>
      </c>
      <c r="J311">
        <v>1</v>
      </c>
    </row>
    <row r="312" spans="1:10" x14ac:dyDescent="0.25">
      <c r="A312">
        <v>1043</v>
      </c>
      <c r="B312" t="s">
        <v>861</v>
      </c>
      <c r="C312">
        <v>38</v>
      </c>
      <c r="D312" t="s">
        <v>68</v>
      </c>
      <c r="E312">
        <v>46047</v>
      </c>
      <c r="F312">
        <v>45391</v>
      </c>
      <c r="G312" t="s">
        <v>862</v>
      </c>
      <c r="H312" t="s">
        <v>24</v>
      </c>
      <c r="I312">
        <v>424.21</v>
      </c>
      <c r="J312" t="s">
        <v>57</v>
      </c>
    </row>
    <row r="313" spans="1:10" x14ac:dyDescent="0.25">
      <c r="A313">
        <v>1095</v>
      </c>
      <c r="B313" t="s">
        <v>863</v>
      </c>
      <c r="C313">
        <v>84</v>
      </c>
      <c r="D313" t="s">
        <v>16</v>
      </c>
      <c r="E313">
        <v>46068</v>
      </c>
      <c r="F313">
        <v>45982</v>
      </c>
      <c r="G313" t="s">
        <v>864</v>
      </c>
      <c r="H313" t="s">
        <v>18</v>
      </c>
      <c r="I313" t="s">
        <v>865</v>
      </c>
      <c r="J313" t="s">
        <v>20</v>
      </c>
    </row>
    <row r="314" spans="1:10" x14ac:dyDescent="0.25">
      <c r="A314">
        <v>1080</v>
      </c>
      <c r="B314" t="s">
        <v>866</v>
      </c>
      <c r="C314">
        <v>40</v>
      </c>
      <c r="D314">
        <v>1</v>
      </c>
      <c r="E314">
        <v>45896</v>
      </c>
      <c r="F314">
        <v>45851</v>
      </c>
      <c r="G314" t="s">
        <v>867</v>
      </c>
      <c r="H314" t="s">
        <v>18</v>
      </c>
      <c r="I314" t="s">
        <v>868</v>
      </c>
      <c r="J314" t="s">
        <v>35</v>
      </c>
    </row>
    <row r="315" spans="1:10" x14ac:dyDescent="0.25">
      <c r="A315">
        <v>1082</v>
      </c>
      <c r="B315" t="s">
        <v>869</v>
      </c>
      <c r="C315">
        <v>89</v>
      </c>
      <c r="D315">
        <v>1</v>
      </c>
      <c r="E315">
        <v>45743</v>
      </c>
      <c r="F315">
        <v>45642</v>
      </c>
      <c r="G315" t="s">
        <v>870</v>
      </c>
      <c r="H315" t="s">
        <v>13</v>
      </c>
      <c r="I315" t="s">
        <v>871</v>
      </c>
      <c r="J315" t="s">
        <v>57</v>
      </c>
    </row>
    <row r="316" spans="1:10" x14ac:dyDescent="0.25">
      <c r="A316">
        <v>1058</v>
      </c>
      <c r="B316" t="s">
        <v>872</v>
      </c>
      <c r="C316">
        <v>57</v>
      </c>
      <c r="D316">
        <v>0</v>
      </c>
      <c r="E316">
        <v>45960</v>
      </c>
      <c r="F316">
        <v>45531</v>
      </c>
      <c r="G316" t="s">
        <v>873</v>
      </c>
      <c r="H316" t="s">
        <v>24</v>
      </c>
      <c r="I316" t="s">
        <v>874</v>
      </c>
      <c r="J316" t="s">
        <v>20</v>
      </c>
    </row>
    <row r="317" spans="1:10" x14ac:dyDescent="0.25">
      <c r="A317">
        <v>1088</v>
      </c>
      <c r="B317" t="s">
        <v>875</v>
      </c>
      <c r="C317">
        <v>26</v>
      </c>
      <c r="D317" t="s">
        <v>11</v>
      </c>
      <c r="E317">
        <v>46085</v>
      </c>
      <c r="F317">
        <v>46019</v>
      </c>
      <c r="G317" t="s">
        <v>876</v>
      </c>
      <c r="H317" t="s">
        <v>13</v>
      </c>
      <c r="I317" t="s">
        <v>877</v>
      </c>
      <c r="J317">
        <v>0</v>
      </c>
    </row>
    <row r="318" spans="1:10" x14ac:dyDescent="0.25">
      <c r="A318">
        <v>1039</v>
      </c>
      <c r="B318" t="s">
        <v>878</v>
      </c>
      <c r="C318">
        <v>61</v>
      </c>
      <c r="D318">
        <v>0</v>
      </c>
      <c r="E318">
        <v>45968</v>
      </c>
      <c r="F318">
        <v>45921</v>
      </c>
      <c r="G318" t="s">
        <v>879</v>
      </c>
      <c r="H318" t="s">
        <v>28</v>
      </c>
      <c r="I318" t="s">
        <v>880</v>
      </c>
      <c r="J318">
        <v>0</v>
      </c>
    </row>
    <row r="319" spans="1:10" x14ac:dyDescent="0.25">
      <c r="A319">
        <v>1016</v>
      </c>
      <c r="B319" t="s">
        <v>881</v>
      </c>
      <c r="C319">
        <v>78</v>
      </c>
      <c r="D319" t="s">
        <v>16</v>
      </c>
      <c r="E319">
        <v>45798</v>
      </c>
      <c r="F319">
        <v>45522</v>
      </c>
      <c r="G319" t="s">
        <v>882</v>
      </c>
      <c r="H319" t="s">
        <v>24</v>
      </c>
      <c r="I319" t="s">
        <v>883</v>
      </c>
      <c r="J319" t="s">
        <v>20</v>
      </c>
    </row>
    <row r="320" spans="1:10" x14ac:dyDescent="0.25">
      <c r="A320">
        <v>1098</v>
      </c>
      <c r="B320" t="s">
        <v>884</v>
      </c>
      <c r="C320">
        <v>35</v>
      </c>
      <c r="D320">
        <v>1</v>
      </c>
      <c r="E320">
        <v>46008</v>
      </c>
      <c r="F320">
        <v>45409</v>
      </c>
      <c r="G320" t="s">
        <v>885</v>
      </c>
      <c r="H320" t="s">
        <v>18</v>
      </c>
      <c r="I320" t="s">
        <v>886</v>
      </c>
      <c r="J320" t="s">
        <v>57</v>
      </c>
    </row>
    <row r="321" spans="1:10" x14ac:dyDescent="0.25">
      <c r="A321">
        <v>1025</v>
      </c>
      <c r="B321" t="s">
        <v>887</v>
      </c>
      <c r="C321">
        <v>40</v>
      </c>
      <c r="D321" t="s">
        <v>49</v>
      </c>
      <c r="E321">
        <v>45880</v>
      </c>
      <c r="F321">
        <v>45506</v>
      </c>
      <c r="G321" t="s">
        <v>888</v>
      </c>
      <c r="H321" t="s">
        <v>18</v>
      </c>
      <c r="I321" t="s">
        <v>889</v>
      </c>
      <c r="J321">
        <v>0</v>
      </c>
    </row>
    <row r="322" spans="1:10" x14ac:dyDescent="0.25">
      <c r="A322">
        <v>1012</v>
      </c>
      <c r="B322" t="s">
        <v>890</v>
      </c>
      <c r="C322">
        <v>59</v>
      </c>
      <c r="D322" t="s">
        <v>11</v>
      </c>
      <c r="E322">
        <v>45778</v>
      </c>
      <c r="F322">
        <v>45567</v>
      </c>
      <c r="G322" t="s">
        <v>891</v>
      </c>
      <c r="H322" t="s">
        <v>28</v>
      </c>
      <c r="I322" t="s">
        <v>892</v>
      </c>
      <c r="J322">
        <v>1</v>
      </c>
    </row>
    <row r="323" spans="1:10" x14ac:dyDescent="0.25">
      <c r="A323">
        <v>1038</v>
      </c>
      <c r="B323" t="s">
        <v>893</v>
      </c>
      <c r="C323">
        <v>57</v>
      </c>
      <c r="D323" t="s">
        <v>37</v>
      </c>
      <c r="E323">
        <v>45776</v>
      </c>
      <c r="F323">
        <v>45398</v>
      </c>
      <c r="G323" t="s">
        <v>894</v>
      </c>
      <c r="H323" t="s">
        <v>24</v>
      </c>
      <c r="I323" t="s">
        <v>895</v>
      </c>
      <c r="J323" t="s">
        <v>20</v>
      </c>
    </row>
    <row r="324" spans="1:10" x14ac:dyDescent="0.25">
      <c r="A324">
        <v>1000</v>
      </c>
      <c r="B324" t="s">
        <v>896</v>
      </c>
      <c r="C324">
        <v>85</v>
      </c>
      <c r="D324" t="s">
        <v>22</v>
      </c>
      <c r="E324">
        <v>45823</v>
      </c>
      <c r="F324">
        <v>45476</v>
      </c>
      <c r="G324" t="s">
        <v>897</v>
      </c>
      <c r="H324" t="s">
        <v>24</v>
      </c>
      <c r="I324" t="s">
        <v>898</v>
      </c>
      <c r="J324">
        <v>0</v>
      </c>
    </row>
    <row r="325" spans="1:10" x14ac:dyDescent="0.25">
      <c r="A325">
        <v>1020</v>
      </c>
      <c r="B325" t="s">
        <v>899</v>
      </c>
      <c r="C325">
        <v>76</v>
      </c>
      <c r="D325" t="s">
        <v>37</v>
      </c>
      <c r="E325">
        <v>45807</v>
      </c>
      <c r="F325">
        <v>45500</v>
      </c>
      <c r="G325" t="s">
        <v>900</v>
      </c>
      <c r="H325" t="s">
        <v>28</v>
      </c>
      <c r="I325" t="s">
        <v>901</v>
      </c>
      <c r="J325" t="s">
        <v>30</v>
      </c>
    </row>
    <row r="326" spans="1:10" x14ac:dyDescent="0.25">
      <c r="A326">
        <v>1010</v>
      </c>
      <c r="B326" t="s">
        <v>902</v>
      </c>
      <c r="C326">
        <v>87</v>
      </c>
      <c r="E326">
        <v>45813</v>
      </c>
      <c r="F326">
        <v>45396</v>
      </c>
      <c r="G326" t="s">
        <v>903</v>
      </c>
      <c r="H326" t="s">
        <v>24</v>
      </c>
      <c r="I326" t="s">
        <v>904</v>
      </c>
      <c r="J326">
        <v>1</v>
      </c>
    </row>
    <row r="327" spans="1:10" x14ac:dyDescent="0.25">
      <c r="A327">
        <v>1031</v>
      </c>
      <c r="B327" t="s">
        <v>905</v>
      </c>
      <c r="C327">
        <v>40</v>
      </c>
      <c r="D327">
        <v>1</v>
      </c>
      <c r="E327">
        <v>46065</v>
      </c>
      <c r="F327">
        <v>45394</v>
      </c>
      <c r="G327" t="s">
        <v>906</v>
      </c>
      <c r="H327" t="s">
        <v>24</v>
      </c>
      <c r="I327">
        <v>364.33</v>
      </c>
      <c r="J327" t="s">
        <v>57</v>
      </c>
    </row>
    <row r="328" spans="1:10" x14ac:dyDescent="0.25">
      <c r="A328">
        <v>1006</v>
      </c>
      <c r="B328" t="s">
        <v>907</v>
      </c>
      <c r="C328">
        <v>54</v>
      </c>
      <c r="D328" t="s">
        <v>37</v>
      </c>
      <c r="E328">
        <v>45826</v>
      </c>
      <c r="F328">
        <v>45602</v>
      </c>
      <c r="G328" t="s">
        <v>908</v>
      </c>
      <c r="H328" t="s">
        <v>24</v>
      </c>
      <c r="I328" t="s">
        <v>909</v>
      </c>
      <c r="J328" t="s">
        <v>30</v>
      </c>
    </row>
    <row r="329" spans="1:10" x14ac:dyDescent="0.25">
      <c r="A329">
        <v>1078</v>
      </c>
      <c r="B329" t="s">
        <v>910</v>
      </c>
      <c r="C329">
        <v>85</v>
      </c>
      <c r="D329" t="s">
        <v>16</v>
      </c>
      <c r="E329">
        <v>45858</v>
      </c>
      <c r="F329">
        <v>45623</v>
      </c>
      <c r="G329" t="s">
        <v>911</v>
      </c>
      <c r="H329" t="s">
        <v>28</v>
      </c>
      <c r="I329" t="s">
        <v>912</v>
      </c>
      <c r="J329">
        <v>0</v>
      </c>
    </row>
    <row r="330" spans="1:10" x14ac:dyDescent="0.25">
      <c r="A330">
        <v>1021</v>
      </c>
      <c r="B330" t="s">
        <v>913</v>
      </c>
      <c r="C330">
        <v>43</v>
      </c>
      <c r="D330" t="s">
        <v>16</v>
      </c>
      <c r="E330">
        <v>45772</v>
      </c>
      <c r="F330">
        <v>45748</v>
      </c>
      <c r="G330" t="s">
        <v>914</v>
      </c>
      <c r="H330" t="s">
        <v>24</v>
      </c>
      <c r="I330" t="s">
        <v>915</v>
      </c>
      <c r="J330">
        <v>0</v>
      </c>
    </row>
    <row r="331" spans="1:10" x14ac:dyDescent="0.25">
      <c r="A331">
        <v>1084</v>
      </c>
      <c r="B331" t="s">
        <v>916</v>
      </c>
      <c r="C331">
        <v>53</v>
      </c>
      <c r="D331" t="s">
        <v>11</v>
      </c>
      <c r="E331">
        <v>45966</v>
      </c>
      <c r="F331">
        <v>45870</v>
      </c>
      <c r="G331" t="s">
        <v>917</v>
      </c>
      <c r="H331" t="s">
        <v>24</v>
      </c>
      <c r="I331" t="s">
        <v>918</v>
      </c>
      <c r="J331" t="s">
        <v>35</v>
      </c>
    </row>
    <row r="332" spans="1:10" x14ac:dyDescent="0.25">
      <c r="A332">
        <v>1025</v>
      </c>
      <c r="B332" t="s">
        <v>919</v>
      </c>
      <c r="C332">
        <v>55</v>
      </c>
      <c r="D332" t="s">
        <v>37</v>
      </c>
      <c r="E332">
        <v>45976</v>
      </c>
      <c r="F332">
        <v>45479</v>
      </c>
      <c r="G332" t="s">
        <v>920</v>
      </c>
      <c r="H332" t="s">
        <v>28</v>
      </c>
      <c r="I332" t="s">
        <v>921</v>
      </c>
      <c r="J332" t="s">
        <v>30</v>
      </c>
    </row>
    <row r="333" spans="1:10" x14ac:dyDescent="0.25">
      <c r="A333">
        <v>1015</v>
      </c>
      <c r="B333" t="s">
        <v>922</v>
      </c>
      <c r="C333">
        <v>21</v>
      </c>
      <c r="D333" t="s">
        <v>16</v>
      </c>
      <c r="E333">
        <v>45998</v>
      </c>
      <c r="F333">
        <v>45716</v>
      </c>
      <c r="G333" t="s">
        <v>923</v>
      </c>
      <c r="H333" t="s">
        <v>18</v>
      </c>
      <c r="I333" t="s">
        <v>924</v>
      </c>
      <c r="J333">
        <v>1</v>
      </c>
    </row>
    <row r="334" spans="1:10" x14ac:dyDescent="0.25">
      <c r="A334">
        <v>1084</v>
      </c>
      <c r="B334" t="s">
        <v>925</v>
      </c>
      <c r="C334">
        <v>78</v>
      </c>
      <c r="D334" t="s">
        <v>49</v>
      </c>
      <c r="E334">
        <v>46064</v>
      </c>
      <c r="F334">
        <v>45610</v>
      </c>
      <c r="G334" t="s">
        <v>926</v>
      </c>
      <c r="H334" t="s">
        <v>24</v>
      </c>
      <c r="I334" t="s">
        <v>927</v>
      </c>
      <c r="J334">
        <v>0</v>
      </c>
    </row>
    <row r="335" spans="1:10" x14ac:dyDescent="0.25">
      <c r="A335">
        <v>1015</v>
      </c>
      <c r="B335" t="s">
        <v>928</v>
      </c>
      <c r="C335">
        <v>86</v>
      </c>
      <c r="D335" t="s">
        <v>16</v>
      </c>
      <c r="E335">
        <v>45882</v>
      </c>
      <c r="F335">
        <v>45556</v>
      </c>
      <c r="G335" t="s">
        <v>929</v>
      </c>
      <c r="H335" t="s">
        <v>13</v>
      </c>
      <c r="I335" t="s">
        <v>930</v>
      </c>
      <c r="J335" t="s">
        <v>20</v>
      </c>
    </row>
    <row r="336" spans="1:10" x14ac:dyDescent="0.25">
      <c r="A336">
        <v>1091</v>
      </c>
      <c r="B336" t="s">
        <v>931</v>
      </c>
      <c r="C336">
        <v>27</v>
      </c>
      <c r="D336" t="s">
        <v>68</v>
      </c>
      <c r="E336">
        <v>46031</v>
      </c>
      <c r="F336">
        <v>45732</v>
      </c>
      <c r="G336" t="s">
        <v>932</v>
      </c>
      <c r="H336" t="s">
        <v>18</v>
      </c>
      <c r="I336" t="s">
        <v>933</v>
      </c>
      <c r="J336">
        <v>0</v>
      </c>
    </row>
    <row r="337" spans="1:10" x14ac:dyDescent="0.25">
      <c r="A337">
        <v>1065</v>
      </c>
      <c r="B337" t="s">
        <v>934</v>
      </c>
      <c r="C337">
        <v>76</v>
      </c>
      <c r="D337" t="s">
        <v>49</v>
      </c>
      <c r="E337">
        <v>45836</v>
      </c>
      <c r="F337">
        <v>45648</v>
      </c>
      <c r="G337" t="s">
        <v>935</v>
      </c>
      <c r="H337" t="s">
        <v>18</v>
      </c>
      <c r="I337" t="s">
        <v>936</v>
      </c>
      <c r="J337" t="s">
        <v>20</v>
      </c>
    </row>
    <row r="338" spans="1:10" x14ac:dyDescent="0.25">
      <c r="A338">
        <v>1045</v>
      </c>
      <c r="B338" t="s">
        <v>937</v>
      </c>
      <c r="C338">
        <v>38</v>
      </c>
      <c r="D338" t="s">
        <v>49</v>
      </c>
      <c r="E338">
        <v>45888</v>
      </c>
      <c r="F338">
        <v>45817</v>
      </c>
      <c r="G338" t="s">
        <v>938</v>
      </c>
      <c r="H338" t="s">
        <v>28</v>
      </c>
      <c r="I338" t="s">
        <v>258</v>
      </c>
      <c r="J338" t="s">
        <v>35</v>
      </c>
    </row>
    <row r="339" spans="1:10" x14ac:dyDescent="0.25">
      <c r="A339">
        <v>1050</v>
      </c>
      <c r="B339" t="s">
        <v>939</v>
      </c>
      <c r="C339">
        <v>81</v>
      </c>
      <c r="D339" t="s">
        <v>49</v>
      </c>
      <c r="E339">
        <v>45804</v>
      </c>
      <c r="F339">
        <v>45555</v>
      </c>
      <c r="G339" t="s">
        <v>940</v>
      </c>
      <c r="H339" t="s">
        <v>13</v>
      </c>
      <c r="I339">
        <v>184.28</v>
      </c>
      <c r="J339" t="s">
        <v>20</v>
      </c>
    </row>
    <row r="340" spans="1:10" x14ac:dyDescent="0.25">
      <c r="A340">
        <v>1058</v>
      </c>
      <c r="B340" t="s">
        <v>941</v>
      </c>
      <c r="C340">
        <v>90</v>
      </c>
      <c r="D340" t="s">
        <v>68</v>
      </c>
      <c r="E340">
        <v>45790</v>
      </c>
      <c r="F340">
        <v>45460</v>
      </c>
      <c r="G340" t="s">
        <v>942</v>
      </c>
      <c r="H340" t="s">
        <v>28</v>
      </c>
      <c r="I340" t="s">
        <v>943</v>
      </c>
      <c r="J340" t="s">
        <v>35</v>
      </c>
    </row>
    <row r="341" spans="1:10" x14ac:dyDescent="0.25">
      <c r="A341">
        <v>1047</v>
      </c>
      <c r="B341" t="s">
        <v>944</v>
      </c>
      <c r="C341">
        <v>87</v>
      </c>
      <c r="D341" t="s">
        <v>11</v>
      </c>
      <c r="E341">
        <v>45936</v>
      </c>
      <c r="F341">
        <v>45628</v>
      </c>
      <c r="G341" t="s">
        <v>945</v>
      </c>
      <c r="H341" t="s">
        <v>28</v>
      </c>
      <c r="I341">
        <v>135.41</v>
      </c>
      <c r="J341" t="s">
        <v>57</v>
      </c>
    </row>
    <row r="342" spans="1:10" x14ac:dyDescent="0.25">
      <c r="A342">
        <v>1044</v>
      </c>
      <c r="B342" t="s">
        <v>946</v>
      </c>
      <c r="C342">
        <v>74</v>
      </c>
      <c r="D342" t="s">
        <v>16</v>
      </c>
      <c r="E342">
        <v>45749</v>
      </c>
      <c r="F342">
        <v>45676</v>
      </c>
      <c r="G342" t="s">
        <v>947</v>
      </c>
      <c r="H342" t="s">
        <v>18</v>
      </c>
      <c r="I342" t="s">
        <v>948</v>
      </c>
      <c r="J342">
        <v>0</v>
      </c>
    </row>
    <row r="343" spans="1:10" x14ac:dyDescent="0.25">
      <c r="A343">
        <v>1049</v>
      </c>
      <c r="B343" t="s">
        <v>949</v>
      </c>
      <c r="C343">
        <v>65</v>
      </c>
      <c r="D343" t="s">
        <v>37</v>
      </c>
      <c r="E343">
        <v>46070</v>
      </c>
      <c r="F343">
        <v>45443</v>
      </c>
      <c r="G343" t="s">
        <v>950</v>
      </c>
      <c r="H343" t="s">
        <v>13</v>
      </c>
      <c r="I343">
        <v>205.16</v>
      </c>
      <c r="J343">
        <v>1</v>
      </c>
    </row>
    <row r="344" spans="1:10" x14ac:dyDescent="0.25">
      <c r="A344">
        <v>1095</v>
      </c>
      <c r="B344" t="s">
        <v>951</v>
      </c>
      <c r="C344">
        <v>53</v>
      </c>
      <c r="D344" t="s">
        <v>16</v>
      </c>
      <c r="E344">
        <v>46104</v>
      </c>
      <c r="F344">
        <v>45749</v>
      </c>
      <c r="G344" t="s">
        <v>952</v>
      </c>
      <c r="H344" t="s">
        <v>13</v>
      </c>
      <c r="J344" t="s">
        <v>20</v>
      </c>
    </row>
    <row r="345" spans="1:10" x14ac:dyDescent="0.25">
      <c r="A345">
        <v>1098</v>
      </c>
      <c r="B345" t="s">
        <v>953</v>
      </c>
      <c r="C345">
        <v>48</v>
      </c>
      <c r="D345" t="s">
        <v>16</v>
      </c>
      <c r="E345">
        <v>46027</v>
      </c>
      <c r="F345">
        <v>45807</v>
      </c>
      <c r="G345" t="s">
        <v>954</v>
      </c>
      <c r="H345" t="s">
        <v>28</v>
      </c>
      <c r="I345">
        <v>296.43</v>
      </c>
      <c r="J345" t="s">
        <v>35</v>
      </c>
    </row>
    <row r="346" spans="1:10" x14ac:dyDescent="0.25">
      <c r="A346">
        <v>1066</v>
      </c>
      <c r="B346" t="s">
        <v>955</v>
      </c>
      <c r="C346">
        <v>33</v>
      </c>
      <c r="D346" t="s">
        <v>22</v>
      </c>
      <c r="E346">
        <v>45840</v>
      </c>
      <c r="F346">
        <v>45518</v>
      </c>
      <c r="G346" t="s">
        <v>956</v>
      </c>
      <c r="H346" t="s">
        <v>28</v>
      </c>
      <c r="I346">
        <v>233.98</v>
      </c>
      <c r="J346" t="s">
        <v>30</v>
      </c>
    </row>
    <row r="347" spans="1:10" x14ac:dyDescent="0.25">
      <c r="A347">
        <v>1014</v>
      </c>
      <c r="B347" t="s">
        <v>957</v>
      </c>
      <c r="C347">
        <v>90</v>
      </c>
      <c r="E347">
        <v>46065</v>
      </c>
      <c r="F347">
        <v>45518</v>
      </c>
      <c r="G347" t="s">
        <v>958</v>
      </c>
      <c r="H347" t="s">
        <v>18</v>
      </c>
      <c r="I347" t="s">
        <v>959</v>
      </c>
      <c r="J347" t="s">
        <v>57</v>
      </c>
    </row>
    <row r="348" spans="1:10" x14ac:dyDescent="0.25">
      <c r="A348">
        <v>1003</v>
      </c>
      <c r="B348" t="s">
        <v>960</v>
      </c>
      <c r="C348">
        <v>61</v>
      </c>
      <c r="D348">
        <v>1</v>
      </c>
      <c r="E348">
        <v>45869</v>
      </c>
      <c r="F348">
        <v>45770</v>
      </c>
      <c r="G348" t="s">
        <v>961</v>
      </c>
      <c r="H348" t="s">
        <v>24</v>
      </c>
      <c r="I348" t="s">
        <v>962</v>
      </c>
      <c r="J348">
        <v>0</v>
      </c>
    </row>
    <row r="349" spans="1:10" x14ac:dyDescent="0.25">
      <c r="A349">
        <v>1056</v>
      </c>
      <c r="B349" t="s">
        <v>963</v>
      </c>
      <c r="C349">
        <v>46</v>
      </c>
      <c r="D349">
        <v>1</v>
      </c>
      <c r="E349">
        <v>46093</v>
      </c>
      <c r="F349">
        <v>45880</v>
      </c>
      <c r="G349" t="s">
        <v>964</v>
      </c>
      <c r="H349" t="s">
        <v>24</v>
      </c>
      <c r="I349" t="s">
        <v>965</v>
      </c>
      <c r="J349">
        <v>0</v>
      </c>
    </row>
    <row r="350" spans="1:10" x14ac:dyDescent="0.25">
      <c r="A350">
        <v>1033</v>
      </c>
      <c r="B350" t="s">
        <v>966</v>
      </c>
      <c r="C350">
        <v>48</v>
      </c>
      <c r="D350">
        <v>0</v>
      </c>
      <c r="E350">
        <v>45838</v>
      </c>
      <c r="F350">
        <v>45681</v>
      </c>
      <c r="G350" t="s">
        <v>333</v>
      </c>
      <c r="H350" t="s">
        <v>18</v>
      </c>
      <c r="I350" t="s">
        <v>967</v>
      </c>
      <c r="J350" t="s">
        <v>30</v>
      </c>
    </row>
    <row r="351" spans="1:10" x14ac:dyDescent="0.25">
      <c r="A351">
        <v>1095</v>
      </c>
      <c r="B351" t="s">
        <v>968</v>
      </c>
      <c r="C351">
        <v>37</v>
      </c>
      <c r="D351">
        <v>1</v>
      </c>
      <c r="E351">
        <v>45951</v>
      </c>
      <c r="F351">
        <v>45876</v>
      </c>
      <c r="G351" t="s">
        <v>969</v>
      </c>
      <c r="H351" t="s">
        <v>13</v>
      </c>
      <c r="J351" t="s">
        <v>35</v>
      </c>
    </row>
    <row r="352" spans="1:10" x14ac:dyDescent="0.25">
      <c r="A352">
        <v>1036</v>
      </c>
      <c r="B352" t="s">
        <v>970</v>
      </c>
      <c r="C352">
        <v>27</v>
      </c>
      <c r="D352" t="s">
        <v>68</v>
      </c>
      <c r="E352">
        <v>46101</v>
      </c>
      <c r="F352">
        <v>46062</v>
      </c>
      <c r="G352" t="s">
        <v>971</v>
      </c>
      <c r="H352" t="s">
        <v>13</v>
      </c>
      <c r="I352" t="s">
        <v>972</v>
      </c>
      <c r="J352" t="s">
        <v>20</v>
      </c>
    </row>
    <row r="353" spans="1:10" x14ac:dyDescent="0.25">
      <c r="A353">
        <v>1082</v>
      </c>
      <c r="B353" t="s">
        <v>973</v>
      </c>
      <c r="C353">
        <v>29</v>
      </c>
      <c r="D353" t="s">
        <v>22</v>
      </c>
      <c r="E353">
        <v>45962</v>
      </c>
      <c r="F353">
        <v>45733</v>
      </c>
      <c r="G353" t="s">
        <v>974</v>
      </c>
      <c r="H353" t="s">
        <v>24</v>
      </c>
      <c r="I353">
        <v>366.49</v>
      </c>
      <c r="J353" t="s">
        <v>57</v>
      </c>
    </row>
    <row r="354" spans="1:10" x14ac:dyDescent="0.25">
      <c r="A354">
        <v>1063</v>
      </c>
      <c r="B354" t="s">
        <v>975</v>
      </c>
      <c r="C354">
        <v>36</v>
      </c>
      <c r="D354" t="s">
        <v>68</v>
      </c>
      <c r="E354">
        <v>45932</v>
      </c>
      <c r="F354">
        <v>45912</v>
      </c>
      <c r="G354" t="s">
        <v>976</v>
      </c>
      <c r="H354" t="s">
        <v>28</v>
      </c>
      <c r="I354" t="s">
        <v>977</v>
      </c>
      <c r="J354" t="s">
        <v>35</v>
      </c>
    </row>
    <row r="355" spans="1:10" x14ac:dyDescent="0.25">
      <c r="A355">
        <v>1003</v>
      </c>
      <c r="B355" t="s">
        <v>978</v>
      </c>
      <c r="C355">
        <v>29</v>
      </c>
      <c r="D355" t="s">
        <v>11</v>
      </c>
      <c r="E355">
        <v>46076</v>
      </c>
      <c r="F355">
        <v>45386</v>
      </c>
      <c r="G355" t="s">
        <v>979</v>
      </c>
      <c r="H355" t="s">
        <v>18</v>
      </c>
      <c r="I355" t="s">
        <v>980</v>
      </c>
      <c r="J355" t="s">
        <v>57</v>
      </c>
    </row>
    <row r="356" spans="1:10" x14ac:dyDescent="0.25">
      <c r="A356">
        <v>1005</v>
      </c>
      <c r="B356" t="s">
        <v>981</v>
      </c>
      <c r="C356">
        <v>64</v>
      </c>
      <c r="D356" t="s">
        <v>11</v>
      </c>
      <c r="E356">
        <v>45915</v>
      </c>
      <c r="F356">
        <v>45676</v>
      </c>
      <c r="G356" t="s">
        <v>982</v>
      </c>
      <c r="H356" t="s">
        <v>24</v>
      </c>
      <c r="I356" t="s">
        <v>983</v>
      </c>
      <c r="J356" t="s">
        <v>30</v>
      </c>
    </row>
    <row r="357" spans="1:10" x14ac:dyDescent="0.25">
      <c r="A357">
        <v>1058</v>
      </c>
      <c r="B357" t="s">
        <v>984</v>
      </c>
      <c r="C357">
        <v>36</v>
      </c>
      <c r="D357" t="s">
        <v>37</v>
      </c>
      <c r="E357">
        <v>46011</v>
      </c>
      <c r="F357">
        <v>45378</v>
      </c>
      <c r="G357" t="s">
        <v>985</v>
      </c>
      <c r="H357" t="s">
        <v>28</v>
      </c>
      <c r="I357" t="s">
        <v>986</v>
      </c>
      <c r="J357">
        <v>1</v>
      </c>
    </row>
    <row r="358" spans="1:10" x14ac:dyDescent="0.25">
      <c r="A358">
        <v>1061</v>
      </c>
      <c r="B358" t="s">
        <v>987</v>
      </c>
      <c r="C358">
        <v>23</v>
      </c>
      <c r="D358" t="s">
        <v>49</v>
      </c>
      <c r="E358">
        <v>46030</v>
      </c>
      <c r="F358">
        <v>45625</v>
      </c>
      <c r="G358" t="s">
        <v>988</v>
      </c>
      <c r="H358" t="s">
        <v>13</v>
      </c>
      <c r="I358" t="s">
        <v>989</v>
      </c>
      <c r="J358" t="s">
        <v>57</v>
      </c>
    </row>
    <row r="359" spans="1:10" x14ac:dyDescent="0.25">
      <c r="A359">
        <v>1004</v>
      </c>
      <c r="B359" t="s">
        <v>990</v>
      </c>
      <c r="C359">
        <v>63</v>
      </c>
      <c r="D359" t="s">
        <v>11</v>
      </c>
      <c r="E359">
        <v>45790</v>
      </c>
      <c r="F359">
        <v>45404</v>
      </c>
      <c r="G359" t="s">
        <v>991</v>
      </c>
      <c r="H359" t="s">
        <v>28</v>
      </c>
      <c r="I359" t="s">
        <v>992</v>
      </c>
      <c r="J359">
        <v>0</v>
      </c>
    </row>
    <row r="360" spans="1:10" x14ac:dyDescent="0.25">
      <c r="A360">
        <v>1057</v>
      </c>
      <c r="B360" t="s">
        <v>993</v>
      </c>
      <c r="C360">
        <v>58</v>
      </c>
      <c r="D360">
        <v>1</v>
      </c>
      <c r="E360">
        <v>45908</v>
      </c>
      <c r="F360">
        <v>45712</v>
      </c>
      <c r="G360" t="s">
        <v>994</v>
      </c>
      <c r="H360" t="s">
        <v>13</v>
      </c>
      <c r="I360" t="s">
        <v>995</v>
      </c>
      <c r="J360">
        <v>0</v>
      </c>
    </row>
    <row r="361" spans="1:10" x14ac:dyDescent="0.25">
      <c r="A361">
        <v>1036</v>
      </c>
      <c r="B361" t="s">
        <v>996</v>
      </c>
      <c r="C361">
        <v>38</v>
      </c>
      <c r="D361" t="s">
        <v>37</v>
      </c>
      <c r="E361">
        <v>45978</v>
      </c>
      <c r="F361">
        <v>45574</v>
      </c>
      <c r="G361" t="s">
        <v>997</v>
      </c>
      <c r="H361" t="s">
        <v>24</v>
      </c>
      <c r="I361" t="s">
        <v>998</v>
      </c>
      <c r="J361" t="s">
        <v>35</v>
      </c>
    </row>
    <row r="362" spans="1:10" x14ac:dyDescent="0.25">
      <c r="A362">
        <v>1095</v>
      </c>
      <c r="B362" t="s">
        <v>999</v>
      </c>
      <c r="C362">
        <v>60</v>
      </c>
      <c r="D362" t="s">
        <v>37</v>
      </c>
      <c r="E362">
        <v>46013</v>
      </c>
      <c r="F362">
        <v>45429</v>
      </c>
      <c r="G362" t="s">
        <v>1000</v>
      </c>
      <c r="H362" t="s">
        <v>28</v>
      </c>
      <c r="I362" t="s">
        <v>1001</v>
      </c>
      <c r="J362" t="s">
        <v>35</v>
      </c>
    </row>
    <row r="363" spans="1:10" x14ac:dyDescent="0.25">
      <c r="A363">
        <v>1036</v>
      </c>
      <c r="B363" t="s">
        <v>1002</v>
      </c>
      <c r="C363">
        <v>87</v>
      </c>
      <c r="D363">
        <v>1</v>
      </c>
      <c r="E363">
        <v>45869</v>
      </c>
      <c r="F363">
        <v>45598</v>
      </c>
      <c r="G363" t="s">
        <v>1003</v>
      </c>
      <c r="H363" t="s">
        <v>13</v>
      </c>
      <c r="I363">
        <v>369.12</v>
      </c>
      <c r="J363">
        <v>1</v>
      </c>
    </row>
    <row r="364" spans="1:10" x14ac:dyDescent="0.25">
      <c r="A364">
        <v>1049</v>
      </c>
      <c r="B364" t="s">
        <v>1004</v>
      </c>
      <c r="C364">
        <v>58</v>
      </c>
      <c r="D364" t="s">
        <v>11</v>
      </c>
      <c r="E364">
        <v>45876</v>
      </c>
      <c r="F364">
        <v>45659</v>
      </c>
      <c r="G364" t="s">
        <v>1005</v>
      </c>
      <c r="H364" t="s">
        <v>13</v>
      </c>
      <c r="I364" t="s">
        <v>1006</v>
      </c>
      <c r="J364" t="s">
        <v>20</v>
      </c>
    </row>
    <row r="365" spans="1:10" x14ac:dyDescent="0.25">
      <c r="A365">
        <v>1036</v>
      </c>
      <c r="B365" t="s">
        <v>1007</v>
      </c>
      <c r="C365">
        <v>20</v>
      </c>
      <c r="D365">
        <v>1</v>
      </c>
      <c r="E365">
        <v>45895</v>
      </c>
      <c r="F365">
        <v>45666</v>
      </c>
      <c r="G365" t="s">
        <v>1008</v>
      </c>
      <c r="H365" t="s">
        <v>13</v>
      </c>
      <c r="I365" t="s">
        <v>1009</v>
      </c>
      <c r="J365" t="s">
        <v>30</v>
      </c>
    </row>
    <row r="366" spans="1:10" x14ac:dyDescent="0.25">
      <c r="A366">
        <v>1050</v>
      </c>
      <c r="B366" t="s">
        <v>1010</v>
      </c>
      <c r="C366">
        <v>81</v>
      </c>
      <c r="E366">
        <v>46070</v>
      </c>
      <c r="F366">
        <v>45750</v>
      </c>
      <c r="G366" t="s">
        <v>312</v>
      </c>
      <c r="H366" t="s">
        <v>24</v>
      </c>
      <c r="I366" t="s">
        <v>1011</v>
      </c>
      <c r="J366" t="s">
        <v>20</v>
      </c>
    </row>
    <row r="367" spans="1:10" x14ac:dyDescent="0.25">
      <c r="A367">
        <v>1019</v>
      </c>
      <c r="B367" t="s">
        <v>1012</v>
      </c>
      <c r="C367">
        <v>38</v>
      </c>
      <c r="E367">
        <v>46011</v>
      </c>
      <c r="F367">
        <v>45883</v>
      </c>
      <c r="G367" t="s">
        <v>1013</v>
      </c>
      <c r="H367" t="s">
        <v>18</v>
      </c>
      <c r="I367" t="s">
        <v>1014</v>
      </c>
      <c r="J367">
        <v>1</v>
      </c>
    </row>
    <row r="368" spans="1:10" x14ac:dyDescent="0.25">
      <c r="A368">
        <v>1082</v>
      </c>
      <c r="B368" t="s">
        <v>1015</v>
      </c>
      <c r="C368">
        <v>56</v>
      </c>
      <c r="D368" t="s">
        <v>22</v>
      </c>
      <c r="E368">
        <v>45917</v>
      </c>
      <c r="F368">
        <v>45888</v>
      </c>
      <c r="G368" t="s">
        <v>1016</v>
      </c>
      <c r="H368" t="s">
        <v>13</v>
      </c>
      <c r="J368" t="s">
        <v>20</v>
      </c>
    </row>
    <row r="369" spans="1:10" x14ac:dyDescent="0.25">
      <c r="A369">
        <v>1074</v>
      </c>
      <c r="B369" t="s">
        <v>1017</v>
      </c>
      <c r="C369">
        <v>67</v>
      </c>
      <c r="D369" t="s">
        <v>16</v>
      </c>
      <c r="E369">
        <v>45905</v>
      </c>
      <c r="F369">
        <v>45431</v>
      </c>
      <c r="G369" t="s">
        <v>1018</v>
      </c>
      <c r="H369" t="s">
        <v>24</v>
      </c>
      <c r="I369" t="s">
        <v>1019</v>
      </c>
      <c r="J369" t="s">
        <v>20</v>
      </c>
    </row>
    <row r="370" spans="1:10" x14ac:dyDescent="0.25">
      <c r="A370">
        <v>1084</v>
      </c>
      <c r="B370" t="s">
        <v>1020</v>
      </c>
      <c r="C370">
        <v>64</v>
      </c>
      <c r="D370" t="s">
        <v>68</v>
      </c>
      <c r="E370">
        <v>46022</v>
      </c>
      <c r="F370">
        <v>45766</v>
      </c>
      <c r="G370" t="s">
        <v>1021</v>
      </c>
      <c r="H370" t="s">
        <v>18</v>
      </c>
      <c r="I370" t="s">
        <v>1022</v>
      </c>
      <c r="J370">
        <v>1</v>
      </c>
    </row>
    <row r="371" spans="1:10" x14ac:dyDescent="0.25">
      <c r="A371">
        <v>1084</v>
      </c>
      <c r="B371" t="s">
        <v>1023</v>
      </c>
      <c r="C371">
        <v>79</v>
      </c>
      <c r="D371" t="s">
        <v>16</v>
      </c>
      <c r="E371">
        <v>46014</v>
      </c>
      <c r="F371">
        <v>45669</v>
      </c>
      <c r="G371" t="s">
        <v>1024</v>
      </c>
      <c r="H371" t="s">
        <v>24</v>
      </c>
      <c r="I371" t="s">
        <v>1025</v>
      </c>
      <c r="J371" t="s">
        <v>35</v>
      </c>
    </row>
    <row r="372" spans="1:10" x14ac:dyDescent="0.25">
      <c r="A372">
        <v>1004</v>
      </c>
      <c r="B372" t="s">
        <v>1026</v>
      </c>
      <c r="C372">
        <v>27</v>
      </c>
      <c r="D372" t="s">
        <v>22</v>
      </c>
      <c r="E372">
        <v>45895</v>
      </c>
      <c r="F372">
        <v>45545</v>
      </c>
      <c r="G372" t="s">
        <v>1027</v>
      </c>
      <c r="H372" t="s">
        <v>24</v>
      </c>
      <c r="J372" t="s">
        <v>35</v>
      </c>
    </row>
    <row r="373" spans="1:10" x14ac:dyDescent="0.25">
      <c r="A373">
        <v>1006</v>
      </c>
      <c r="B373" t="s">
        <v>1028</v>
      </c>
      <c r="C373">
        <v>42</v>
      </c>
      <c r="D373" t="s">
        <v>68</v>
      </c>
      <c r="E373">
        <v>45965</v>
      </c>
      <c r="F373">
        <v>45601</v>
      </c>
      <c r="G373" t="s">
        <v>1029</v>
      </c>
      <c r="H373" t="s">
        <v>18</v>
      </c>
      <c r="J373" t="s">
        <v>35</v>
      </c>
    </row>
    <row r="374" spans="1:10" x14ac:dyDescent="0.25">
      <c r="A374">
        <v>1096</v>
      </c>
      <c r="B374" t="s">
        <v>1030</v>
      </c>
      <c r="C374">
        <v>83</v>
      </c>
      <c r="D374" t="s">
        <v>11</v>
      </c>
      <c r="E374">
        <v>46102</v>
      </c>
      <c r="F374">
        <v>46000</v>
      </c>
      <c r="G374" t="s">
        <v>1031</v>
      </c>
      <c r="H374" t="s">
        <v>24</v>
      </c>
      <c r="I374" t="s">
        <v>1032</v>
      </c>
      <c r="J374">
        <v>1</v>
      </c>
    </row>
    <row r="375" spans="1:10" x14ac:dyDescent="0.25">
      <c r="A375">
        <v>1022</v>
      </c>
      <c r="B375" t="s">
        <v>1033</v>
      </c>
      <c r="C375">
        <v>19</v>
      </c>
      <c r="D375">
        <v>1</v>
      </c>
      <c r="E375">
        <v>45949</v>
      </c>
      <c r="F375">
        <v>45919</v>
      </c>
      <c r="G375" t="s">
        <v>1034</v>
      </c>
      <c r="H375" t="s">
        <v>18</v>
      </c>
      <c r="I375" t="s">
        <v>1035</v>
      </c>
      <c r="J375" t="s">
        <v>35</v>
      </c>
    </row>
    <row r="376" spans="1:10" x14ac:dyDescent="0.25">
      <c r="A376">
        <v>1089</v>
      </c>
      <c r="B376" t="s">
        <v>1036</v>
      </c>
      <c r="C376">
        <v>35</v>
      </c>
      <c r="D376">
        <v>0</v>
      </c>
      <c r="E376">
        <v>45959</v>
      </c>
      <c r="F376">
        <v>45906</v>
      </c>
      <c r="G376" t="s">
        <v>1037</v>
      </c>
      <c r="H376" t="s">
        <v>13</v>
      </c>
      <c r="I376" t="s">
        <v>1038</v>
      </c>
      <c r="J376" t="s">
        <v>30</v>
      </c>
    </row>
    <row r="377" spans="1:10" x14ac:dyDescent="0.25">
      <c r="A377">
        <v>1058</v>
      </c>
      <c r="B377" t="s">
        <v>1039</v>
      </c>
      <c r="C377">
        <v>29</v>
      </c>
      <c r="D377" t="s">
        <v>68</v>
      </c>
      <c r="E377">
        <v>45807</v>
      </c>
      <c r="F377">
        <v>45377</v>
      </c>
      <c r="G377" t="s">
        <v>1040</v>
      </c>
      <c r="H377" t="s">
        <v>28</v>
      </c>
      <c r="I377">
        <v>481.22</v>
      </c>
      <c r="J377" t="s">
        <v>35</v>
      </c>
    </row>
    <row r="378" spans="1:10" x14ac:dyDescent="0.25">
      <c r="A378">
        <v>1024</v>
      </c>
      <c r="B378" t="s">
        <v>1041</v>
      </c>
      <c r="C378">
        <v>55</v>
      </c>
      <c r="D378" t="s">
        <v>16</v>
      </c>
      <c r="E378">
        <v>45942</v>
      </c>
      <c r="F378">
        <v>45593</v>
      </c>
      <c r="G378" t="s">
        <v>1042</v>
      </c>
      <c r="H378" t="s">
        <v>28</v>
      </c>
      <c r="I378" t="s">
        <v>1043</v>
      </c>
      <c r="J378" t="s">
        <v>20</v>
      </c>
    </row>
    <row r="379" spans="1:10" x14ac:dyDescent="0.25">
      <c r="A379">
        <v>1016</v>
      </c>
      <c r="B379" t="s">
        <v>1044</v>
      </c>
      <c r="C379">
        <v>81</v>
      </c>
      <c r="D379" t="s">
        <v>37</v>
      </c>
      <c r="E379">
        <v>45859</v>
      </c>
      <c r="F379">
        <v>45481</v>
      </c>
      <c r="G379" t="s">
        <v>1045</v>
      </c>
      <c r="H379" t="s">
        <v>28</v>
      </c>
      <c r="I379" t="s">
        <v>1046</v>
      </c>
      <c r="J379">
        <v>1</v>
      </c>
    </row>
    <row r="380" spans="1:10" x14ac:dyDescent="0.25">
      <c r="A380">
        <v>1022</v>
      </c>
      <c r="B380" t="s">
        <v>1047</v>
      </c>
      <c r="C380">
        <v>56</v>
      </c>
      <c r="D380" t="s">
        <v>68</v>
      </c>
      <c r="E380">
        <v>45824</v>
      </c>
      <c r="F380">
        <v>45443</v>
      </c>
      <c r="G380" t="s">
        <v>1048</v>
      </c>
      <c r="H380" t="s">
        <v>13</v>
      </c>
      <c r="I380">
        <v>157.36000000000001</v>
      </c>
      <c r="J380" t="s">
        <v>30</v>
      </c>
    </row>
    <row r="381" spans="1:10" x14ac:dyDescent="0.25">
      <c r="A381">
        <v>1088</v>
      </c>
      <c r="B381" t="s">
        <v>1049</v>
      </c>
      <c r="C381">
        <v>32</v>
      </c>
      <c r="E381">
        <v>45860</v>
      </c>
      <c r="F381">
        <v>45394</v>
      </c>
      <c r="G381" t="s">
        <v>1050</v>
      </c>
      <c r="H381" t="s">
        <v>18</v>
      </c>
      <c r="I381">
        <v>69.13</v>
      </c>
      <c r="J381" t="s">
        <v>35</v>
      </c>
    </row>
    <row r="382" spans="1:10" x14ac:dyDescent="0.25">
      <c r="A382">
        <v>1016</v>
      </c>
      <c r="B382" t="s">
        <v>1051</v>
      </c>
      <c r="C382">
        <v>74</v>
      </c>
      <c r="D382" t="s">
        <v>22</v>
      </c>
      <c r="E382">
        <v>45997</v>
      </c>
      <c r="F382">
        <v>45569</v>
      </c>
      <c r="G382" t="s">
        <v>1052</v>
      </c>
      <c r="H382" t="s">
        <v>24</v>
      </c>
      <c r="I382" t="s">
        <v>1053</v>
      </c>
      <c r="J382" t="s">
        <v>20</v>
      </c>
    </row>
    <row r="383" spans="1:10" x14ac:dyDescent="0.25">
      <c r="A383">
        <v>1039</v>
      </c>
      <c r="B383" t="s">
        <v>1054</v>
      </c>
      <c r="C383">
        <v>55</v>
      </c>
      <c r="D383" t="s">
        <v>49</v>
      </c>
      <c r="E383">
        <v>45748</v>
      </c>
      <c r="F383">
        <v>45548</v>
      </c>
      <c r="G383" t="s">
        <v>1055</v>
      </c>
      <c r="H383" t="s">
        <v>18</v>
      </c>
      <c r="I383">
        <v>432.84</v>
      </c>
      <c r="J383" t="s">
        <v>30</v>
      </c>
    </row>
    <row r="384" spans="1:10" x14ac:dyDescent="0.25">
      <c r="A384">
        <v>1075</v>
      </c>
      <c r="B384" t="s">
        <v>1056</v>
      </c>
      <c r="C384">
        <v>27</v>
      </c>
      <c r="D384" t="s">
        <v>37</v>
      </c>
      <c r="E384">
        <v>45754</v>
      </c>
      <c r="F384">
        <v>45384</v>
      </c>
      <c r="G384" t="s">
        <v>1057</v>
      </c>
      <c r="H384" t="s">
        <v>18</v>
      </c>
      <c r="I384" t="s">
        <v>1058</v>
      </c>
      <c r="J384" t="s">
        <v>57</v>
      </c>
    </row>
    <row r="385" spans="1:10" x14ac:dyDescent="0.25">
      <c r="A385">
        <v>1013</v>
      </c>
      <c r="B385" t="s">
        <v>1059</v>
      </c>
      <c r="C385">
        <v>62</v>
      </c>
      <c r="D385" t="s">
        <v>11</v>
      </c>
      <c r="E385">
        <v>46024</v>
      </c>
      <c r="F385">
        <v>45714</v>
      </c>
      <c r="G385" t="s">
        <v>1060</v>
      </c>
      <c r="H385" t="s">
        <v>24</v>
      </c>
      <c r="I385">
        <v>413.25</v>
      </c>
      <c r="J385">
        <v>1</v>
      </c>
    </row>
    <row r="386" spans="1:10" x14ac:dyDescent="0.25">
      <c r="A386">
        <v>1089</v>
      </c>
      <c r="B386" t="s">
        <v>1061</v>
      </c>
      <c r="C386">
        <v>24</v>
      </c>
      <c r="D386" t="s">
        <v>68</v>
      </c>
      <c r="E386">
        <v>45916</v>
      </c>
      <c r="F386">
        <v>45673</v>
      </c>
      <c r="G386" t="s">
        <v>1062</v>
      </c>
      <c r="H386" t="s">
        <v>18</v>
      </c>
      <c r="I386">
        <v>73.59</v>
      </c>
      <c r="J386" t="s">
        <v>35</v>
      </c>
    </row>
    <row r="387" spans="1:10" x14ac:dyDescent="0.25">
      <c r="A387">
        <v>1084</v>
      </c>
      <c r="B387" t="s">
        <v>1063</v>
      </c>
      <c r="C387">
        <v>34</v>
      </c>
      <c r="D387" t="s">
        <v>16</v>
      </c>
      <c r="E387">
        <v>45998</v>
      </c>
      <c r="F387">
        <v>45941</v>
      </c>
      <c r="G387" t="s">
        <v>1064</v>
      </c>
      <c r="H387" t="s">
        <v>28</v>
      </c>
      <c r="I387" t="s">
        <v>1065</v>
      </c>
      <c r="J387">
        <v>0</v>
      </c>
    </row>
    <row r="388" spans="1:10" x14ac:dyDescent="0.25">
      <c r="A388">
        <v>1018</v>
      </c>
      <c r="B388" t="s">
        <v>1066</v>
      </c>
      <c r="C388">
        <v>68</v>
      </c>
      <c r="D388">
        <v>1</v>
      </c>
      <c r="E388">
        <v>45833</v>
      </c>
      <c r="F388">
        <v>45813</v>
      </c>
      <c r="G388" t="s">
        <v>1067</v>
      </c>
      <c r="H388" t="s">
        <v>13</v>
      </c>
      <c r="I388" t="s">
        <v>1068</v>
      </c>
      <c r="J388" t="s">
        <v>20</v>
      </c>
    </row>
    <row r="389" spans="1:10" x14ac:dyDescent="0.25">
      <c r="A389">
        <v>1026</v>
      </c>
      <c r="B389" t="s">
        <v>1069</v>
      </c>
      <c r="C389">
        <v>42</v>
      </c>
      <c r="D389">
        <v>1</v>
      </c>
      <c r="E389">
        <v>46047</v>
      </c>
      <c r="F389">
        <v>45635</v>
      </c>
      <c r="G389" t="s">
        <v>1070</v>
      </c>
      <c r="H389" t="s">
        <v>28</v>
      </c>
      <c r="I389">
        <v>156.9</v>
      </c>
      <c r="J389" t="s">
        <v>57</v>
      </c>
    </row>
    <row r="390" spans="1:10" x14ac:dyDescent="0.25">
      <c r="A390">
        <v>1001</v>
      </c>
      <c r="B390" t="s">
        <v>1071</v>
      </c>
      <c r="C390">
        <v>90</v>
      </c>
      <c r="D390" t="s">
        <v>22</v>
      </c>
      <c r="E390">
        <v>45973</v>
      </c>
      <c r="F390">
        <v>45904</v>
      </c>
      <c r="G390" t="s">
        <v>1072</v>
      </c>
      <c r="H390" t="s">
        <v>24</v>
      </c>
      <c r="I390" t="s">
        <v>1073</v>
      </c>
      <c r="J390" t="s">
        <v>30</v>
      </c>
    </row>
    <row r="391" spans="1:10" x14ac:dyDescent="0.25">
      <c r="A391">
        <v>1004</v>
      </c>
      <c r="B391" t="s">
        <v>1074</v>
      </c>
      <c r="C391">
        <v>65</v>
      </c>
      <c r="D391" t="s">
        <v>49</v>
      </c>
      <c r="E391">
        <v>45881</v>
      </c>
      <c r="F391">
        <v>45653</v>
      </c>
      <c r="G391" t="s">
        <v>1075</v>
      </c>
      <c r="H391" t="s">
        <v>13</v>
      </c>
      <c r="I391">
        <v>188.72</v>
      </c>
      <c r="J391" t="s">
        <v>20</v>
      </c>
    </row>
    <row r="392" spans="1:10" x14ac:dyDescent="0.25">
      <c r="A392">
        <v>1013</v>
      </c>
      <c r="B392" t="s">
        <v>1076</v>
      </c>
      <c r="C392">
        <v>89</v>
      </c>
      <c r="D392" t="s">
        <v>68</v>
      </c>
      <c r="E392">
        <v>45944</v>
      </c>
      <c r="F392">
        <v>45551</v>
      </c>
      <c r="G392" t="s">
        <v>1077</v>
      </c>
      <c r="H392" t="s">
        <v>13</v>
      </c>
      <c r="I392" t="s">
        <v>1078</v>
      </c>
      <c r="J392">
        <v>1</v>
      </c>
    </row>
    <row r="393" spans="1:10" x14ac:dyDescent="0.25">
      <c r="A393">
        <v>1009</v>
      </c>
      <c r="B393" t="s">
        <v>1079</v>
      </c>
      <c r="C393">
        <v>67</v>
      </c>
      <c r="D393" t="s">
        <v>11</v>
      </c>
      <c r="E393">
        <v>45840</v>
      </c>
      <c r="F393">
        <v>45447</v>
      </c>
      <c r="G393" t="s">
        <v>1080</v>
      </c>
      <c r="H393" t="s">
        <v>18</v>
      </c>
      <c r="I393" t="s">
        <v>1081</v>
      </c>
      <c r="J393">
        <v>0</v>
      </c>
    </row>
    <row r="394" spans="1:10" x14ac:dyDescent="0.25">
      <c r="A394">
        <v>1021</v>
      </c>
      <c r="B394" t="s">
        <v>1082</v>
      </c>
      <c r="C394">
        <v>68</v>
      </c>
      <c r="E394">
        <v>45784</v>
      </c>
      <c r="F394">
        <v>45583</v>
      </c>
      <c r="G394" t="s">
        <v>1083</v>
      </c>
      <c r="H394" t="s">
        <v>18</v>
      </c>
      <c r="I394">
        <v>296.8</v>
      </c>
      <c r="J394" t="s">
        <v>57</v>
      </c>
    </row>
    <row r="395" spans="1:10" x14ac:dyDescent="0.25">
      <c r="A395">
        <v>1100</v>
      </c>
      <c r="B395" t="s">
        <v>1084</v>
      </c>
      <c r="C395">
        <v>69</v>
      </c>
      <c r="D395">
        <v>1</v>
      </c>
      <c r="E395">
        <v>45938</v>
      </c>
      <c r="F395">
        <v>45796</v>
      </c>
      <c r="G395" t="s">
        <v>1085</v>
      </c>
      <c r="H395" t="s">
        <v>24</v>
      </c>
      <c r="I395" t="s">
        <v>1086</v>
      </c>
      <c r="J395" t="s">
        <v>30</v>
      </c>
    </row>
    <row r="396" spans="1:10" x14ac:dyDescent="0.25">
      <c r="A396">
        <v>1005</v>
      </c>
      <c r="B396" t="s">
        <v>1087</v>
      </c>
      <c r="C396">
        <v>80</v>
      </c>
      <c r="D396" t="s">
        <v>22</v>
      </c>
      <c r="E396">
        <v>45862</v>
      </c>
      <c r="F396">
        <v>45673</v>
      </c>
      <c r="G396" t="s">
        <v>1088</v>
      </c>
      <c r="H396" t="s">
        <v>28</v>
      </c>
      <c r="I396">
        <v>320.72000000000003</v>
      </c>
      <c r="J396" t="s">
        <v>57</v>
      </c>
    </row>
    <row r="397" spans="1:10" x14ac:dyDescent="0.25">
      <c r="A397">
        <v>1071</v>
      </c>
      <c r="B397" t="s">
        <v>1089</v>
      </c>
      <c r="C397">
        <v>73</v>
      </c>
      <c r="D397">
        <v>1</v>
      </c>
      <c r="E397">
        <v>45893</v>
      </c>
      <c r="F397">
        <v>45842</v>
      </c>
      <c r="G397" t="s">
        <v>1090</v>
      </c>
      <c r="H397" t="s">
        <v>24</v>
      </c>
      <c r="I397">
        <v>262.83999999999997</v>
      </c>
      <c r="J397" t="s">
        <v>30</v>
      </c>
    </row>
    <row r="398" spans="1:10" x14ac:dyDescent="0.25">
      <c r="A398">
        <v>1070</v>
      </c>
      <c r="B398" t="s">
        <v>224</v>
      </c>
      <c r="C398">
        <v>78</v>
      </c>
      <c r="D398" t="s">
        <v>22</v>
      </c>
      <c r="E398">
        <v>46010</v>
      </c>
      <c r="F398">
        <v>45621</v>
      </c>
      <c r="G398" t="s">
        <v>1091</v>
      </c>
      <c r="H398" t="s">
        <v>13</v>
      </c>
      <c r="I398" t="s">
        <v>1092</v>
      </c>
      <c r="J398">
        <v>0</v>
      </c>
    </row>
    <row r="399" spans="1:10" x14ac:dyDescent="0.25">
      <c r="A399">
        <v>1020</v>
      </c>
      <c r="B399" t="s">
        <v>1093</v>
      </c>
      <c r="C399">
        <v>65</v>
      </c>
      <c r="D399" t="s">
        <v>37</v>
      </c>
      <c r="E399">
        <v>46046</v>
      </c>
      <c r="F399">
        <v>46026</v>
      </c>
      <c r="G399" t="s">
        <v>1094</v>
      </c>
      <c r="H399" t="s">
        <v>13</v>
      </c>
      <c r="I399" t="s">
        <v>1095</v>
      </c>
      <c r="J399" t="s">
        <v>30</v>
      </c>
    </row>
    <row r="400" spans="1:10" x14ac:dyDescent="0.25">
      <c r="A400">
        <v>1074</v>
      </c>
      <c r="B400" t="s">
        <v>1096</v>
      </c>
      <c r="C400">
        <v>87</v>
      </c>
      <c r="D400" t="s">
        <v>22</v>
      </c>
      <c r="E400">
        <v>45961</v>
      </c>
      <c r="F400">
        <v>45799</v>
      </c>
      <c r="G400" t="s">
        <v>1097</v>
      </c>
      <c r="H400" t="s">
        <v>13</v>
      </c>
      <c r="I400" t="s">
        <v>1098</v>
      </c>
      <c r="J400" t="s">
        <v>35</v>
      </c>
    </row>
    <row r="401" spans="1:10" x14ac:dyDescent="0.25">
      <c r="A401">
        <v>1001</v>
      </c>
      <c r="B401" t="s">
        <v>1099</v>
      </c>
      <c r="C401">
        <v>78</v>
      </c>
      <c r="D401" t="s">
        <v>49</v>
      </c>
      <c r="E401">
        <v>45887</v>
      </c>
      <c r="F401">
        <v>45438</v>
      </c>
      <c r="G401" t="s">
        <v>1100</v>
      </c>
      <c r="H401" t="s">
        <v>24</v>
      </c>
      <c r="I401" t="s">
        <v>1101</v>
      </c>
      <c r="J401">
        <v>0</v>
      </c>
    </row>
    <row r="402" spans="1:10" x14ac:dyDescent="0.25">
      <c r="A402">
        <v>1067</v>
      </c>
      <c r="B402" t="s">
        <v>1102</v>
      </c>
      <c r="C402">
        <v>66</v>
      </c>
      <c r="E402">
        <v>45800</v>
      </c>
      <c r="F402">
        <v>45518</v>
      </c>
      <c r="G402" t="s">
        <v>1103</v>
      </c>
      <c r="H402" t="s">
        <v>13</v>
      </c>
      <c r="I402" t="s">
        <v>1104</v>
      </c>
      <c r="J402" t="s">
        <v>20</v>
      </c>
    </row>
    <row r="403" spans="1:10" x14ac:dyDescent="0.25">
      <c r="A403">
        <v>1074</v>
      </c>
      <c r="B403" t="s">
        <v>1105</v>
      </c>
      <c r="C403">
        <v>30</v>
      </c>
      <c r="D403" t="s">
        <v>11</v>
      </c>
      <c r="E403">
        <v>45994</v>
      </c>
      <c r="F403">
        <v>45865</v>
      </c>
      <c r="G403" t="s">
        <v>1106</v>
      </c>
      <c r="H403" t="s">
        <v>18</v>
      </c>
      <c r="I403" t="s">
        <v>1107</v>
      </c>
      <c r="J403" t="s">
        <v>35</v>
      </c>
    </row>
    <row r="404" spans="1:10" x14ac:dyDescent="0.25">
      <c r="A404">
        <v>1053</v>
      </c>
      <c r="B404" t="s">
        <v>1108</v>
      </c>
      <c r="C404">
        <v>76</v>
      </c>
      <c r="D404" t="s">
        <v>11</v>
      </c>
      <c r="E404">
        <v>45989</v>
      </c>
      <c r="F404">
        <v>45767</v>
      </c>
      <c r="G404" t="s">
        <v>1109</v>
      </c>
      <c r="H404" t="s">
        <v>28</v>
      </c>
      <c r="I404">
        <v>374.72</v>
      </c>
      <c r="J404" t="s">
        <v>35</v>
      </c>
    </row>
    <row r="405" spans="1:10" x14ac:dyDescent="0.25">
      <c r="A405">
        <v>1020</v>
      </c>
      <c r="B405" t="s">
        <v>1110</v>
      </c>
      <c r="C405">
        <v>69</v>
      </c>
      <c r="D405" t="s">
        <v>37</v>
      </c>
      <c r="E405">
        <v>45904</v>
      </c>
      <c r="F405">
        <v>45704</v>
      </c>
      <c r="G405" t="s">
        <v>1111</v>
      </c>
      <c r="H405" t="s">
        <v>28</v>
      </c>
      <c r="I405" t="s">
        <v>1112</v>
      </c>
      <c r="J405" t="s">
        <v>30</v>
      </c>
    </row>
    <row r="406" spans="1:10" x14ac:dyDescent="0.25">
      <c r="A406">
        <v>1013</v>
      </c>
      <c r="B406" t="s">
        <v>1113</v>
      </c>
      <c r="C406">
        <v>27</v>
      </c>
      <c r="D406" t="s">
        <v>11</v>
      </c>
      <c r="E406">
        <v>46027</v>
      </c>
      <c r="F406">
        <v>45638</v>
      </c>
      <c r="G406" t="s">
        <v>1114</v>
      </c>
      <c r="H406" t="s">
        <v>24</v>
      </c>
      <c r="I406">
        <v>379.39</v>
      </c>
      <c r="J406" t="s">
        <v>20</v>
      </c>
    </row>
    <row r="407" spans="1:10" x14ac:dyDescent="0.25">
      <c r="A407">
        <v>1027</v>
      </c>
      <c r="B407" t="s">
        <v>1115</v>
      </c>
      <c r="C407">
        <v>75</v>
      </c>
      <c r="D407" t="s">
        <v>68</v>
      </c>
      <c r="E407">
        <v>45761</v>
      </c>
      <c r="F407">
        <v>45463</v>
      </c>
      <c r="G407" t="s">
        <v>1116</v>
      </c>
      <c r="H407" t="s">
        <v>18</v>
      </c>
      <c r="I407" t="s">
        <v>1117</v>
      </c>
      <c r="J407">
        <v>0</v>
      </c>
    </row>
    <row r="408" spans="1:10" x14ac:dyDescent="0.25">
      <c r="A408">
        <v>1070</v>
      </c>
      <c r="B408" t="s">
        <v>1118</v>
      </c>
      <c r="C408">
        <v>58</v>
      </c>
      <c r="D408" t="s">
        <v>16</v>
      </c>
      <c r="E408">
        <v>45992</v>
      </c>
      <c r="F408">
        <v>45655</v>
      </c>
      <c r="G408" t="s">
        <v>1119</v>
      </c>
      <c r="H408" t="s">
        <v>28</v>
      </c>
      <c r="I408" t="s">
        <v>1120</v>
      </c>
      <c r="J408">
        <v>0</v>
      </c>
    </row>
    <row r="409" spans="1:10" x14ac:dyDescent="0.25">
      <c r="A409">
        <v>1050</v>
      </c>
      <c r="B409" t="s">
        <v>1121</v>
      </c>
      <c r="C409">
        <v>61</v>
      </c>
      <c r="D409" t="s">
        <v>37</v>
      </c>
      <c r="E409">
        <v>45827</v>
      </c>
      <c r="F409">
        <v>45536</v>
      </c>
      <c r="G409" t="s">
        <v>1122</v>
      </c>
      <c r="H409" t="s">
        <v>24</v>
      </c>
      <c r="I409" t="s">
        <v>1123</v>
      </c>
      <c r="J409">
        <v>0</v>
      </c>
    </row>
    <row r="410" spans="1:10" x14ac:dyDescent="0.25">
      <c r="A410">
        <v>1010</v>
      </c>
      <c r="B410" t="s">
        <v>1124</v>
      </c>
      <c r="C410">
        <v>68</v>
      </c>
      <c r="D410" t="s">
        <v>37</v>
      </c>
      <c r="E410">
        <v>45842</v>
      </c>
      <c r="F410">
        <v>45596</v>
      </c>
      <c r="G410" t="s">
        <v>1125</v>
      </c>
      <c r="H410" t="s">
        <v>28</v>
      </c>
      <c r="I410">
        <v>400.6</v>
      </c>
      <c r="J410">
        <v>1</v>
      </c>
    </row>
    <row r="411" spans="1:10" x14ac:dyDescent="0.25">
      <c r="A411">
        <v>1017</v>
      </c>
      <c r="B411" t="s">
        <v>1126</v>
      </c>
      <c r="C411">
        <v>43</v>
      </c>
      <c r="D411">
        <v>0</v>
      </c>
      <c r="E411">
        <v>45795</v>
      </c>
      <c r="F411">
        <v>45495</v>
      </c>
      <c r="G411" t="s">
        <v>1127</v>
      </c>
      <c r="H411" t="s">
        <v>18</v>
      </c>
      <c r="I411" t="s">
        <v>1128</v>
      </c>
      <c r="J411" t="s">
        <v>30</v>
      </c>
    </row>
    <row r="412" spans="1:10" x14ac:dyDescent="0.25">
      <c r="A412">
        <v>1085</v>
      </c>
      <c r="B412" t="s">
        <v>1129</v>
      </c>
      <c r="C412">
        <v>62</v>
      </c>
      <c r="D412">
        <v>0</v>
      </c>
      <c r="E412">
        <v>45968</v>
      </c>
      <c r="F412">
        <v>45515</v>
      </c>
      <c r="G412" t="s">
        <v>1130</v>
      </c>
      <c r="H412" t="s">
        <v>13</v>
      </c>
      <c r="I412" t="s">
        <v>1131</v>
      </c>
      <c r="J412" t="s">
        <v>57</v>
      </c>
    </row>
    <row r="413" spans="1:10" x14ac:dyDescent="0.25">
      <c r="A413">
        <v>1023</v>
      </c>
      <c r="B413" t="s">
        <v>1132</v>
      </c>
      <c r="C413">
        <v>45</v>
      </c>
      <c r="D413" t="s">
        <v>49</v>
      </c>
      <c r="E413">
        <v>45829</v>
      </c>
      <c r="F413">
        <v>45729</v>
      </c>
      <c r="G413" t="s">
        <v>1133</v>
      </c>
      <c r="H413" t="s">
        <v>13</v>
      </c>
      <c r="I413">
        <v>245.21</v>
      </c>
      <c r="J413" t="s">
        <v>35</v>
      </c>
    </row>
    <row r="414" spans="1:10" x14ac:dyDescent="0.25">
      <c r="A414">
        <v>1066</v>
      </c>
      <c r="B414" t="s">
        <v>1134</v>
      </c>
      <c r="C414">
        <v>85</v>
      </c>
      <c r="D414" t="s">
        <v>11</v>
      </c>
      <c r="E414">
        <v>46000</v>
      </c>
      <c r="F414">
        <v>45687</v>
      </c>
      <c r="G414" t="s">
        <v>1135</v>
      </c>
      <c r="H414" t="s">
        <v>28</v>
      </c>
      <c r="I414" t="s">
        <v>1136</v>
      </c>
      <c r="J414" t="s">
        <v>20</v>
      </c>
    </row>
    <row r="415" spans="1:10" x14ac:dyDescent="0.25">
      <c r="A415">
        <v>1038</v>
      </c>
      <c r="B415" t="s">
        <v>1137</v>
      </c>
      <c r="C415">
        <v>72</v>
      </c>
      <c r="D415" t="s">
        <v>37</v>
      </c>
      <c r="E415">
        <v>45896</v>
      </c>
      <c r="F415">
        <v>45633</v>
      </c>
      <c r="G415" t="s">
        <v>1138</v>
      </c>
      <c r="H415" t="s">
        <v>24</v>
      </c>
      <c r="I415" t="s">
        <v>1139</v>
      </c>
      <c r="J415" t="s">
        <v>35</v>
      </c>
    </row>
    <row r="416" spans="1:10" x14ac:dyDescent="0.25">
      <c r="A416">
        <v>1048</v>
      </c>
      <c r="B416" t="s">
        <v>1140</v>
      </c>
      <c r="C416">
        <v>63</v>
      </c>
      <c r="D416" t="s">
        <v>37</v>
      </c>
      <c r="E416">
        <v>45945</v>
      </c>
      <c r="F416">
        <v>45690</v>
      </c>
      <c r="G416" t="s">
        <v>1141</v>
      </c>
      <c r="H416" t="s">
        <v>13</v>
      </c>
      <c r="I416" t="s">
        <v>1142</v>
      </c>
      <c r="J416" t="s">
        <v>20</v>
      </c>
    </row>
    <row r="417" spans="1:10" x14ac:dyDescent="0.25">
      <c r="A417">
        <v>1082</v>
      </c>
      <c r="B417" t="s">
        <v>1143</v>
      </c>
      <c r="C417">
        <v>67</v>
      </c>
      <c r="D417">
        <v>0</v>
      </c>
      <c r="E417">
        <v>45857</v>
      </c>
      <c r="F417">
        <v>45630</v>
      </c>
      <c r="G417" t="s">
        <v>1144</v>
      </c>
      <c r="H417" t="s">
        <v>28</v>
      </c>
      <c r="I417">
        <v>149.33000000000001</v>
      </c>
      <c r="J417" t="s">
        <v>35</v>
      </c>
    </row>
    <row r="418" spans="1:10" x14ac:dyDescent="0.25">
      <c r="A418">
        <v>1085</v>
      </c>
      <c r="B418" t="s">
        <v>1145</v>
      </c>
      <c r="C418">
        <v>69</v>
      </c>
      <c r="D418">
        <v>1</v>
      </c>
      <c r="E418">
        <v>46097</v>
      </c>
      <c r="F418">
        <v>45462</v>
      </c>
      <c r="G418" t="s">
        <v>1146</v>
      </c>
      <c r="H418" t="s">
        <v>28</v>
      </c>
      <c r="I418">
        <v>412.82</v>
      </c>
      <c r="J418" t="s">
        <v>57</v>
      </c>
    </row>
    <row r="419" spans="1:10" x14ac:dyDescent="0.25">
      <c r="A419">
        <v>1046</v>
      </c>
      <c r="B419" t="s">
        <v>1147</v>
      </c>
      <c r="C419">
        <v>24</v>
      </c>
      <c r="D419" t="s">
        <v>16</v>
      </c>
      <c r="E419">
        <v>45857</v>
      </c>
      <c r="F419">
        <v>45533</v>
      </c>
      <c r="G419" t="s">
        <v>1148</v>
      </c>
      <c r="H419" t="s">
        <v>18</v>
      </c>
      <c r="I419" t="s">
        <v>1149</v>
      </c>
      <c r="J419">
        <v>0</v>
      </c>
    </row>
    <row r="420" spans="1:10" x14ac:dyDescent="0.25">
      <c r="A420">
        <v>1093</v>
      </c>
      <c r="B420" t="s">
        <v>1150</v>
      </c>
      <c r="C420">
        <v>87</v>
      </c>
      <c r="D420" t="s">
        <v>16</v>
      </c>
      <c r="E420">
        <v>46044</v>
      </c>
      <c r="F420">
        <v>45599</v>
      </c>
      <c r="G420" t="s">
        <v>1151</v>
      </c>
      <c r="H420" t="s">
        <v>18</v>
      </c>
      <c r="I420" t="s">
        <v>1152</v>
      </c>
      <c r="J420">
        <v>0</v>
      </c>
    </row>
    <row r="421" spans="1:10" x14ac:dyDescent="0.25">
      <c r="A421">
        <v>1072</v>
      </c>
      <c r="B421" t="s">
        <v>1153</v>
      </c>
      <c r="C421">
        <v>68</v>
      </c>
      <c r="D421">
        <v>1</v>
      </c>
      <c r="E421">
        <v>46032</v>
      </c>
      <c r="F421">
        <v>45911</v>
      </c>
      <c r="G421" t="s">
        <v>1154</v>
      </c>
      <c r="H421" t="s">
        <v>13</v>
      </c>
      <c r="I421" t="s">
        <v>1155</v>
      </c>
      <c r="J421" t="s">
        <v>57</v>
      </c>
    </row>
    <row r="422" spans="1:10" x14ac:dyDescent="0.25">
      <c r="A422">
        <v>1089</v>
      </c>
      <c r="B422" t="s">
        <v>1156</v>
      </c>
      <c r="C422">
        <v>80</v>
      </c>
      <c r="D422">
        <v>1</v>
      </c>
      <c r="E422">
        <v>46000</v>
      </c>
      <c r="F422">
        <v>45951</v>
      </c>
      <c r="G422" t="s">
        <v>1157</v>
      </c>
      <c r="H422" t="s">
        <v>13</v>
      </c>
      <c r="I422" t="s">
        <v>1158</v>
      </c>
      <c r="J422">
        <v>0</v>
      </c>
    </row>
    <row r="423" spans="1:10" x14ac:dyDescent="0.25">
      <c r="A423">
        <v>1007</v>
      </c>
      <c r="B423" t="s">
        <v>1159</v>
      </c>
      <c r="C423">
        <v>39</v>
      </c>
      <c r="D423" t="s">
        <v>37</v>
      </c>
      <c r="E423">
        <v>46031</v>
      </c>
      <c r="F423">
        <v>45513</v>
      </c>
      <c r="G423" t="s">
        <v>1160</v>
      </c>
      <c r="H423" t="s">
        <v>13</v>
      </c>
      <c r="I423" t="s">
        <v>1161</v>
      </c>
      <c r="J423">
        <v>0</v>
      </c>
    </row>
    <row r="424" spans="1:10" x14ac:dyDescent="0.25">
      <c r="A424">
        <v>1030</v>
      </c>
      <c r="B424" t="s">
        <v>1162</v>
      </c>
      <c r="C424">
        <v>18</v>
      </c>
      <c r="D424" t="s">
        <v>22</v>
      </c>
      <c r="E424">
        <v>46079</v>
      </c>
      <c r="F424">
        <v>45907</v>
      </c>
      <c r="G424" t="s">
        <v>1163</v>
      </c>
      <c r="H424" t="s">
        <v>18</v>
      </c>
      <c r="I424">
        <v>117.12</v>
      </c>
      <c r="J424">
        <v>1</v>
      </c>
    </row>
    <row r="425" spans="1:10" x14ac:dyDescent="0.25">
      <c r="A425">
        <v>1088</v>
      </c>
      <c r="B425" t="s">
        <v>1164</v>
      </c>
      <c r="C425">
        <v>80</v>
      </c>
      <c r="D425" t="s">
        <v>22</v>
      </c>
      <c r="E425">
        <v>46087</v>
      </c>
      <c r="F425">
        <v>45826</v>
      </c>
      <c r="G425" t="s">
        <v>1165</v>
      </c>
      <c r="H425" t="s">
        <v>13</v>
      </c>
      <c r="I425" t="s">
        <v>1166</v>
      </c>
      <c r="J425" t="s">
        <v>20</v>
      </c>
    </row>
    <row r="426" spans="1:10" x14ac:dyDescent="0.25">
      <c r="A426">
        <v>1077</v>
      </c>
      <c r="B426" t="s">
        <v>1167</v>
      </c>
      <c r="C426">
        <v>30</v>
      </c>
      <c r="D426" t="s">
        <v>49</v>
      </c>
      <c r="E426">
        <v>45882</v>
      </c>
      <c r="F426">
        <v>45698</v>
      </c>
      <c r="G426" t="s">
        <v>1168</v>
      </c>
      <c r="H426" t="s">
        <v>13</v>
      </c>
      <c r="I426" t="s">
        <v>1169</v>
      </c>
      <c r="J426">
        <v>1</v>
      </c>
    </row>
    <row r="427" spans="1:10" x14ac:dyDescent="0.25">
      <c r="A427">
        <v>1019</v>
      </c>
      <c r="B427" t="s">
        <v>1170</v>
      </c>
      <c r="C427">
        <v>33</v>
      </c>
      <c r="D427" t="s">
        <v>11</v>
      </c>
      <c r="E427">
        <v>45821</v>
      </c>
      <c r="F427">
        <v>45452</v>
      </c>
      <c r="G427" t="s">
        <v>1171</v>
      </c>
      <c r="H427" t="s">
        <v>28</v>
      </c>
      <c r="J427" t="s">
        <v>30</v>
      </c>
    </row>
    <row r="428" spans="1:10" x14ac:dyDescent="0.25">
      <c r="A428">
        <v>1065</v>
      </c>
      <c r="B428" t="s">
        <v>1172</v>
      </c>
      <c r="C428">
        <v>31</v>
      </c>
      <c r="D428">
        <v>1</v>
      </c>
      <c r="E428">
        <v>46085</v>
      </c>
      <c r="F428">
        <v>46050</v>
      </c>
      <c r="G428" t="s">
        <v>1173</v>
      </c>
      <c r="H428" t="s">
        <v>18</v>
      </c>
      <c r="I428" t="s">
        <v>1174</v>
      </c>
      <c r="J428" t="s">
        <v>20</v>
      </c>
    </row>
    <row r="429" spans="1:10" x14ac:dyDescent="0.25">
      <c r="A429">
        <v>1081</v>
      </c>
      <c r="B429" t="s">
        <v>1175</v>
      </c>
      <c r="C429">
        <v>27</v>
      </c>
      <c r="D429">
        <v>0</v>
      </c>
      <c r="E429">
        <v>45854</v>
      </c>
      <c r="F429">
        <v>45821</v>
      </c>
      <c r="G429" t="s">
        <v>1176</v>
      </c>
      <c r="H429" t="s">
        <v>18</v>
      </c>
      <c r="I429" t="s">
        <v>1177</v>
      </c>
      <c r="J429" t="s">
        <v>35</v>
      </c>
    </row>
    <row r="430" spans="1:10" x14ac:dyDescent="0.25">
      <c r="A430">
        <v>1058</v>
      </c>
      <c r="B430" t="s">
        <v>1178</v>
      </c>
      <c r="C430">
        <v>21</v>
      </c>
      <c r="D430">
        <v>0</v>
      </c>
      <c r="E430">
        <v>45916</v>
      </c>
      <c r="F430">
        <v>45739</v>
      </c>
      <c r="G430" t="s">
        <v>1179</v>
      </c>
      <c r="H430" t="s">
        <v>13</v>
      </c>
      <c r="I430" t="s">
        <v>1180</v>
      </c>
      <c r="J430">
        <v>0</v>
      </c>
    </row>
    <row r="431" spans="1:10" x14ac:dyDescent="0.25">
      <c r="A431">
        <v>1034</v>
      </c>
      <c r="B431" t="s">
        <v>1181</v>
      </c>
      <c r="C431">
        <v>75</v>
      </c>
      <c r="D431" t="s">
        <v>16</v>
      </c>
      <c r="E431">
        <v>45813</v>
      </c>
      <c r="F431">
        <v>45677</v>
      </c>
      <c r="G431" t="s">
        <v>1182</v>
      </c>
      <c r="H431" t="s">
        <v>13</v>
      </c>
      <c r="I431" t="s">
        <v>1183</v>
      </c>
      <c r="J431">
        <v>1</v>
      </c>
    </row>
    <row r="432" spans="1:10" x14ac:dyDescent="0.25">
      <c r="A432">
        <v>1068</v>
      </c>
      <c r="B432" t="s">
        <v>1184</v>
      </c>
      <c r="C432">
        <v>61</v>
      </c>
      <c r="D432" t="s">
        <v>11</v>
      </c>
      <c r="E432">
        <v>46006</v>
      </c>
      <c r="F432">
        <v>45483</v>
      </c>
      <c r="G432" t="s">
        <v>1185</v>
      </c>
      <c r="H432" t="s">
        <v>24</v>
      </c>
      <c r="J432">
        <v>1</v>
      </c>
    </row>
    <row r="433" spans="1:10" x14ac:dyDescent="0.25">
      <c r="A433">
        <v>1030</v>
      </c>
      <c r="B433" t="s">
        <v>1186</v>
      </c>
      <c r="C433">
        <v>80</v>
      </c>
      <c r="D433" t="s">
        <v>49</v>
      </c>
      <c r="E433">
        <v>46063</v>
      </c>
      <c r="F433">
        <v>45674</v>
      </c>
      <c r="G433" t="s">
        <v>1187</v>
      </c>
      <c r="H433" t="s">
        <v>13</v>
      </c>
      <c r="I433" t="s">
        <v>1188</v>
      </c>
      <c r="J433" t="s">
        <v>57</v>
      </c>
    </row>
    <row r="434" spans="1:10" x14ac:dyDescent="0.25">
      <c r="A434">
        <v>1013</v>
      </c>
      <c r="B434" t="s">
        <v>1189</v>
      </c>
      <c r="C434">
        <v>86</v>
      </c>
      <c r="D434" t="s">
        <v>49</v>
      </c>
      <c r="E434">
        <v>45907</v>
      </c>
      <c r="F434">
        <v>45668</v>
      </c>
      <c r="G434" t="s">
        <v>1190</v>
      </c>
      <c r="H434" t="s">
        <v>24</v>
      </c>
      <c r="I434" t="s">
        <v>1191</v>
      </c>
      <c r="J434">
        <v>0</v>
      </c>
    </row>
    <row r="435" spans="1:10" x14ac:dyDescent="0.25">
      <c r="A435">
        <v>1092</v>
      </c>
      <c r="B435" t="s">
        <v>1192</v>
      </c>
      <c r="C435">
        <v>42</v>
      </c>
      <c r="D435" t="s">
        <v>22</v>
      </c>
      <c r="E435">
        <v>45767</v>
      </c>
      <c r="F435">
        <v>45574</v>
      </c>
      <c r="G435" t="s">
        <v>1193</v>
      </c>
      <c r="H435" t="s">
        <v>13</v>
      </c>
      <c r="I435" t="s">
        <v>1194</v>
      </c>
      <c r="J435">
        <v>1</v>
      </c>
    </row>
    <row r="436" spans="1:10" x14ac:dyDescent="0.25">
      <c r="A436">
        <v>1027</v>
      </c>
      <c r="B436" t="s">
        <v>1195</v>
      </c>
      <c r="C436">
        <v>63</v>
      </c>
      <c r="D436" t="s">
        <v>22</v>
      </c>
      <c r="E436">
        <v>45847</v>
      </c>
      <c r="F436">
        <v>45504</v>
      </c>
      <c r="G436" t="s">
        <v>1196</v>
      </c>
      <c r="H436" t="s">
        <v>18</v>
      </c>
      <c r="I436" t="s">
        <v>1197</v>
      </c>
      <c r="J436" t="s">
        <v>20</v>
      </c>
    </row>
    <row r="437" spans="1:10" x14ac:dyDescent="0.25">
      <c r="A437">
        <v>1067</v>
      </c>
      <c r="B437" t="s">
        <v>763</v>
      </c>
      <c r="C437">
        <v>54</v>
      </c>
      <c r="D437" t="s">
        <v>37</v>
      </c>
      <c r="E437">
        <v>45911</v>
      </c>
      <c r="F437">
        <v>45905</v>
      </c>
      <c r="G437" t="s">
        <v>1198</v>
      </c>
      <c r="H437" t="s">
        <v>13</v>
      </c>
      <c r="I437">
        <v>108.91</v>
      </c>
      <c r="J437">
        <v>0</v>
      </c>
    </row>
    <row r="438" spans="1:10" x14ac:dyDescent="0.25">
      <c r="A438">
        <v>1059</v>
      </c>
      <c r="B438" t="s">
        <v>1199</v>
      </c>
      <c r="C438">
        <v>34</v>
      </c>
      <c r="D438" t="s">
        <v>68</v>
      </c>
      <c r="E438">
        <v>45910</v>
      </c>
      <c r="F438">
        <v>45595</v>
      </c>
      <c r="G438" t="s">
        <v>1200</v>
      </c>
      <c r="H438" t="s">
        <v>24</v>
      </c>
      <c r="I438" t="s">
        <v>1201</v>
      </c>
      <c r="J438" t="s">
        <v>35</v>
      </c>
    </row>
    <row r="439" spans="1:10" x14ac:dyDescent="0.25">
      <c r="A439">
        <v>1040</v>
      </c>
      <c r="B439" t="s">
        <v>1202</v>
      </c>
      <c r="C439">
        <v>22</v>
      </c>
      <c r="D439" t="s">
        <v>37</v>
      </c>
      <c r="E439">
        <v>46006</v>
      </c>
      <c r="F439">
        <v>45430</v>
      </c>
      <c r="G439" t="s">
        <v>1203</v>
      </c>
      <c r="H439" t="s">
        <v>18</v>
      </c>
      <c r="I439" t="s">
        <v>1204</v>
      </c>
      <c r="J439" t="s">
        <v>57</v>
      </c>
    </row>
    <row r="440" spans="1:10" x14ac:dyDescent="0.25">
      <c r="A440">
        <v>1058</v>
      </c>
      <c r="B440" t="s">
        <v>1205</v>
      </c>
      <c r="C440">
        <v>84</v>
      </c>
      <c r="D440" t="s">
        <v>11</v>
      </c>
      <c r="E440">
        <v>45954</v>
      </c>
      <c r="F440">
        <v>45743</v>
      </c>
      <c r="G440" t="s">
        <v>1206</v>
      </c>
      <c r="H440" t="s">
        <v>24</v>
      </c>
      <c r="I440">
        <v>396.57</v>
      </c>
      <c r="J440" t="s">
        <v>35</v>
      </c>
    </row>
    <row r="441" spans="1:10" x14ac:dyDescent="0.25">
      <c r="A441">
        <v>1080</v>
      </c>
      <c r="B441" t="s">
        <v>1207</v>
      </c>
      <c r="C441">
        <v>45</v>
      </c>
      <c r="D441" t="s">
        <v>37</v>
      </c>
      <c r="E441">
        <v>45972</v>
      </c>
      <c r="F441">
        <v>45818</v>
      </c>
      <c r="G441" t="s">
        <v>1208</v>
      </c>
      <c r="H441" t="s">
        <v>13</v>
      </c>
      <c r="I441" t="s">
        <v>1209</v>
      </c>
      <c r="J441">
        <v>0</v>
      </c>
    </row>
    <row r="442" spans="1:10" x14ac:dyDescent="0.25">
      <c r="A442">
        <v>1026</v>
      </c>
      <c r="B442" t="s">
        <v>1210</v>
      </c>
      <c r="C442">
        <v>47</v>
      </c>
      <c r="D442" t="s">
        <v>37</v>
      </c>
      <c r="E442">
        <v>46070</v>
      </c>
      <c r="F442">
        <v>45421</v>
      </c>
      <c r="G442" t="s">
        <v>1211</v>
      </c>
      <c r="H442" t="s">
        <v>13</v>
      </c>
      <c r="I442">
        <v>215.89</v>
      </c>
      <c r="J442" t="s">
        <v>30</v>
      </c>
    </row>
    <row r="443" spans="1:10" x14ac:dyDescent="0.25">
      <c r="A443">
        <v>1058</v>
      </c>
      <c r="B443" t="s">
        <v>1212</v>
      </c>
      <c r="C443">
        <v>88</v>
      </c>
      <c r="E443">
        <v>45949</v>
      </c>
      <c r="F443">
        <v>45612</v>
      </c>
      <c r="G443" t="s">
        <v>1213</v>
      </c>
      <c r="H443" t="s">
        <v>24</v>
      </c>
      <c r="I443" t="s">
        <v>1214</v>
      </c>
      <c r="J443" t="s">
        <v>57</v>
      </c>
    </row>
    <row r="444" spans="1:10" x14ac:dyDescent="0.25">
      <c r="A444">
        <v>1065</v>
      </c>
      <c r="B444" t="s">
        <v>1215</v>
      </c>
      <c r="C444">
        <v>28</v>
      </c>
      <c r="D444" t="s">
        <v>49</v>
      </c>
      <c r="E444">
        <v>45893</v>
      </c>
      <c r="F444">
        <v>45867</v>
      </c>
      <c r="G444" t="s">
        <v>1216</v>
      </c>
      <c r="H444" t="s">
        <v>24</v>
      </c>
      <c r="I444" t="s">
        <v>1217</v>
      </c>
      <c r="J444">
        <v>1</v>
      </c>
    </row>
    <row r="445" spans="1:10" x14ac:dyDescent="0.25">
      <c r="A445">
        <v>1016</v>
      </c>
      <c r="B445" t="s">
        <v>1218</v>
      </c>
      <c r="C445">
        <v>42</v>
      </c>
      <c r="D445">
        <v>1</v>
      </c>
      <c r="E445">
        <v>45966</v>
      </c>
      <c r="F445">
        <v>45507</v>
      </c>
      <c r="G445" t="s">
        <v>1219</v>
      </c>
      <c r="H445" t="s">
        <v>28</v>
      </c>
      <c r="J445" t="s">
        <v>20</v>
      </c>
    </row>
    <row r="446" spans="1:10" x14ac:dyDescent="0.25">
      <c r="A446">
        <v>1064</v>
      </c>
      <c r="B446" t="s">
        <v>1220</v>
      </c>
      <c r="C446">
        <v>27</v>
      </c>
      <c r="D446" t="s">
        <v>37</v>
      </c>
      <c r="E446">
        <v>46073</v>
      </c>
      <c r="F446">
        <v>45844</v>
      </c>
      <c r="G446" t="s">
        <v>1221</v>
      </c>
      <c r="H446" t="s">
        <v>28</v>
      </c>
      <c r="I446" t="s">
        <v>1222</v>
      </c>
      <c r="J446" t="s">
        <v>35</v>
      </c>
    </row>
    <row r="447" spans="1:10" x14ac:dyDescent="0.25">
      <c r="A447">
        <v>1036</v>
      </c>
      <c r="B447" t="s">
        <v>1223</v>
      </c>
      <c r="C447">
        <v>59</v>
      </c>
      <c r="D447">
        <v>1</v>
      </c>
      <c r="E447">
        <v>45946</v>
      </c>
      <c r="F447">
        <v>45411</v>
      </c>
      <c r="G447" t="s">
        <v>1224</v>
      </c>
      <c r="H447" t="s">
        <v>13</v>
      </c>
      <c r="I447">
        <v>285.44</v>
      </c>
      <c r="J447" t="s">
        <v>35</v>
      </c>
    </row>
    <row r="448" spans="1:10" x14ac:dyDescent="0.25">
      <c r="A448">
        <v>1017</v>
      </c>
      <c r="B448" t="s">
        <v>1225</v>
      </c>
      <c r="C448">
        <v>34</v>
      </c>
      <c r="D448" t="s">
        <v>37</v>
      </c>
      <c r="E448">
        <v>45858</v>
      </c>
      <c r="F448">
        <v>45791</v>
      </c>
      <c r="G448" t="s">
        <v>1226</v>
      </c>
      <c r="H448" t="s">
        <v>28</v>
      </c>
      <c r="I448" t="s">
        <v>1227</v>
      </c>
      <c r="J448" t="s">
        <v>57</v>
      </c>
    </row>
    <row r="449" spans="1:10" x14ac:dyDescent="0.25">
      <c r="A449">
        <v>1005</v>
      </c>
      <c r="B449" t="s">
        <v>1228</v>
      </c>
      <c r="C449">
        <v>69</v>
      </c>
      <c r="D449" t="s">
        <v>68</v>
      </c>
      <c r="E449">
        <v>45936</v>
      </c>
      <c r="F449">
        <v>45625</v>
      </c>
      <c r="G449" t="s">
        <v>1229</v>
      </c>
      <c r="H449" t="s">
        <v>24</v>
      </c>
      <c r="I449" t="s">
        <v>1230</v>
      </c>
      <c r="J449" t="s">
        <v>35</v>
      </c>
    </row>
    <row r="450" spans="1:10" x14ac:dyDescent="0.25">
      <c r="A450">
        <v>1086</v>
      </c>
      <c r="B450" t="s">
        <v>1231</v>
      </c>
      <c r="C450">
        <v>84</v>
      </c>
      <c r="D450">
        <v>1</v>
      </c>
      <c r="E450">
        <v>46015</v>
      </c>
      <c r="F450">
        <v>45534</v>
      </c>
      <c r="G450" t="s">
        <v>1232</v>
      </c>
      <c r="H450" t="s">
        <v>28</v>
      </c>
      <c r="I450" t="s">
        <v>1233</v>
      </c>
      <c r="J450" t="s">
        <v>20</v>
      </c>
    </row>
    <row r="451" spans="1:10" x14ac:dyDescent="0.25">
      <c r="A451">
        <v>1095</v>
      </c>
      <c r="B451" t="s">
        <v>1234</v>
      </c>
      <c r="C451">
        <v>37</v>
      </c>
      <c r="D451">
        <v>1</v>
      </c>
      <c r="E451">
        <v>45914</v>
      </c>
      <c r="F451">
        <v>45432</v>
      </c>
      <c r="G451" t="s">
        <v>1235</v>
      </c>
      <c r="H451" t="s">
        <v>18</v>
      </c>
      <c r="I451" t="s">
        <v>1236</v>
      </c>
      <c r="J451" t="s">
        <v>35</v>
      </c>
    </row>
    <row r="452" spans="1:10" x14ac:dyDescent="0.25">
      <c r="A452">
        <v>1030</v>
      </c>
      <c r="B452" t="s">
        <v>1237</v>
      </c>
      <c r="C452">
        <v>25</v>
      </c>
      <c r="D452" t="s">
        <v>16</v>
      </c>
      <c r="E452">
        <v>45771</v>
      </c>
      <c r="F452">
        <v>45396</v>
      </c>
      <c r="G452" t="s">
        <v>1238</v>
      </c>
      <c r="H452" t="s">
        <v>18</v>
      </c>
      <c r="I452" t="s">
        <v>1239</v>
      </c>
      <c r="J452" t="s">
        <v>30</v>
      </c>
    </row>
    <row r="453" spans="1:10" x14ac:dyDescent="0.25">
      <c r="A453">
        <v>1059</v>
      </c>
      <c r="B453" t="s">
        <v>1240</v>
      </c>
      <c r="C453">
        <v>84</v>
      </c>
      <c r="D453" t="s">
        <v>11</v>
      </c>
      <c r="E453">
        <v>46097</v>
      </c>
      <c r="F453">
        <v>45630</v>
      </c>
      <c r="G453" t="s">
        <v>1241</v>
      </c>
      <c r="H453" t="s">
        <v>24</v>
      </c>
      <c r="I453">
        <v>244.68</v>
      </c>
      <c r="J453" t="s">
        <v>35</v>
      </c>
    </row>
    <row r="454" spans="1:10" x14ac:dyDescent="0.25">
      <c r="A454">
        <v>1012</v>
      </c>
      <c r="B454" t="s">
        <v>1242</v>
      </c>
      <c r="C454">
        <v>30</v>
      </c>
      <c r="D454">
        <v>0</v>
      </c>
      <c r="E454">
        <v>46030</v>
      </c>
      <c r="F454">
        <v>45888</v>
      </c>
      <c r="G454" t="s">
        <v>1243</v>
      </c>
      <c r="H454" t="s">
        <v>13</v>
      </c>
      <c r="I454">
        <v>70.7</v>
      </c>
      <c r="J454" t="s">
        <v>20</v>
      </c>
    </row>
    <row r="455" spans="1:10" x14ac:dyDescent="0.25">
      <c r="A455">
        <v>1074</v>
      </c>
      <c r="B455" t="s">
        <v>1244</v>
      </c>
      <c r="C455">
        <v>64</v>
      </c>
      <c r="D455" t="s">
        <v>49</v>
      </c>
      <c r="E455">
        <v>45832</v>
      </c>
      <c r="F455">
        <v>45571</v>
      </c>
      <c r="G455" t="s">
        <v>1245</v>
      </c>
      <c r="H455" t="s">
        <v>28</v>
      </c>
      <c r="I455" t="s">
        <v>1246</v>
      </c>
      <c r="J455" t="s">
        <v>30</v>
      </c>
    </row>
    <row r="456" spans="1:10" x14ac:dyDescent="0.25">
      <c r="A456">
        <v>1082</v>
      </c>
      <c r="B456" t="s">
        <v>1247</v>
      </c>
      <c r="C456">
        <v>33</v>
      </c>
      <c r="D456" t="s">
        <v>68</v>
      </c>
      <c r="E456">
        <v>45819</v>
      </c>
      <c r="F456">
        <v>45707</v>
      </c>
      <c r="G456" t="s">
        <v>1248</v>
      </c>
      <c r="H456" t="s">
        <v>24</v>
      </c>
      <c r="I456">
        <v>387.75</v>
      </c>
      <c r="J456" t="s">
        <v>35</v>
      </c>
    </row>
    <row r="457" spans="1:10" x14ac:dyDescent="0.25">
      <c r="A457">
        <v>1009</v>
      </c>
      <c r="B457" t="s">
        <v>1249</v>
      </c>
      <c r="C457">
        <v>63</v>
      </c>
      <c r="D457" t="s">
        <v>68</v>
      </c>
      <c r="E457">
        <v>46070</v>
      </c>
      <c r="F457">
        <v>46033</v>
      </c>
      <c r="G457" t="s">
        <v>1250</v>
      </c>
      <c r="H457" t="s">
        <v>13</v>
      </c>
      <c r="I457" t="s">
        <v>1251</v>
      </c>
      <c r="J457" t="s">
        <v>57</v>
      </c>
    </row>
    <row r="458" spans="1:10" x14ac:dyDescent="0.25">
      <c r="A458">
        <v>1091</v>
      </c>
      <c r="B458" t="s">
        <v>1252</v>
      </c>
      <c r="C458">
        <v>86</v>
      </c>
      <c r="D458" t="s">
        <v>49</v>
      </c>
      <c r="E458">
        <v>46014</v>
      </c>
      <c r="F458">
        <v>45620</v>
      </c>
      <c r="G458" t="s">
        <v>1253</v>
      </c>
      <c r="H458" t="s">
        <v>28</v>
      </c>
      <c r="I458" t="s">
        <v>1254</v>
      </c>
      <c r="J458">
        <v>0</v>
      </c>
    </row>
    <row r="459" spans="1:10" x14ac:dyDescent="0.25">
      <c r="A459">
        <v>1038</v>
      </c>
      <c r="B459" t="s">
        <v>1255</v>
      </c>
      <c r="C459">
        <v>54</v>
      </c>
      <c r="D459">
        <v>0</v>
      </c>
      <c r="E459">
        <v>45824</v>
      </c>
      <c r="F459">
        <v>45771</v>
      </c>
      <c r="G459" t="s">
        <v>1256</v>
      </c>
      <c r="H459" t="s">
        <v>28</v>
      </c>
      <c r="I459">
        <v>325.91000000000003</v>
      </c>
      <c r="J459">
        <v>0</v>
      </c>
    </row>
    <row r="460" spans="1:10" x14ac:dyDescent="0.25">
      <c r="A460">
        <v>1037</v>
      </c>
      <c r="B460" t="s">
        <v>1257</v>
      </c>
      <c r="C460">
        <v>52</v>
      </c>
      <c r="D460">
        <v>1</v>
      </c>
      <c r="E460">
        <v>45997</v>
      </c>
      <c r="F460">
        <v>45676</v>
      </c>
      <c r="G460" t="s">
        <v>1258</v>
      </c>
      <c r="H460" t="s">
        <v>28</v>
      </c>
      <c r="J460" t="s">
        <v>57</v>
      </c>
    </row>
    <row r="461" spans="1:10" x14ac:dyDescent="0.25">
      <c r="A461">
        <v>1053</v>
      </c>
      <c r="B461" t="s">
        <v>957</v>
      </c>
      <c r="C461">
        <v>30</v>
      </c>
      <c r="D461" t="s">
        <v>37</v>
      </c>
      <c r="E461">
        <v>46022</v>
      </c>
      <c r="F461">
        <v>45975</v>
      </c>
      <c r="G461" t="s">
        <v>1259</v>
      </c>
      <c r="H461" t="s">
        <v>13</v>
      </c>
      <c r="I461">
        <v>280.20999999999998</v>
      </c>
      <c r="J461" t="s">
        <v>20</v>
      </c>
    </row>
    <row r="462" spans="1:10" x14ac:dyDescent="0.25">
      <c r="A462">
        <v>1043</v>
      </c>
      <c r="B462" t="s">
        <v>1260</v>
      </c>
      <c r="C462">
        <v>28</v>
      </c>
      <c r="D462">
        <v>0</v>
      </c>
      <c r="E462">
        <v>45927</v>
      </c>
      <c r="F462">
        <v>45827</v>
      </c>
      <c r="G462" t="s">
        <v>1261</v>
      </c>
      <c r="H462" t="s">
        <v>28</v>
      </c>
      <c r="I462" t="s">
        <v>1262</v>
      </c>
      <c r="J462">
        <v>0</v>
      </c>
    </row>
    <row r="463" spans="1:10" x14ac:dyDescent="0.25">
      <c r="A463">
        <v>1021</v>
      </c>
      <c r="B463" t="s">
        <v>1263</v>
      </c>
      <c r="C463">
        <v>53</v>
      </c>
      <c r="D463" t="s">
        <v>68</v>
      </c>
      <c r="E463">
        <v>46069</v>
      </c>
      <c r="F463">
        <v>45751</v>
      </c>
      <c r="G463" t="s">
        <v>1264</v>
      </c>
      <c r="H463" t="s">
        <v>24</v>
      </c>
      <c r="I463">
        <v>443.75</v>
      </c>
      <c r="J463" t="s">
        <v>20</v>
      </c>
    </row>
    <row r="464" spans="1:10" x14ac:dyDescent="0.25">
      <c r="A464">
        <v>1059</v>
      </c>
      <c r="B464" t="s">
        <v>1265</v>
      </c>
      <c r="C464">
        <v>57</v>
      </c>
      <c r="D464" t="s">
        <v>22</v>
      </c>
      <c r="E464">
        <v>45896</v>
      </c>
      <c r="F464">
        <v>45387</v>
      </c>
      <c r="G464" t="s">
        <v>1266</v>
      </c>
      <c r="H464" t="s">
        <v>13</v>
      </c>
      <c r="I464">
        <v>385.61</v>
      </c>
      <c r="J464" t="s">
        <v>35</v>
      </c>
    </row>
    <row r="465" spans="1:10" x14ac:dyDescent="0.25">
      <c r="A465">
        <v>1038</v>
      </c>
      <c r="B465" t="s">
        <v>1267</v>
      </c>
      <c r="C465">
        <v>19</v>
      </c>
      <c r="D465" t="s">
        <v>37</v>
      </c>
      <c r="E465">
        <v>45790</v>
      </c>
      <c r="F465">
        <v>45491</v>
      </c>
      <c r="G465" t="s">
        <v>1268</v>
      </c>
      <c r="H465" t="s">
        <v>13</v>
      </c>
      <c r="I465" t="s">
        <v>1269</v>
      </c>
      <c r="J465" t="s">
        <v>20</v>
      </c>
    </row>
    <row r="466" spans="1:10" x14ac:dyDescent="0.25">
      <c r="A466">
        <v>1065</v>
      </c>
      <c r="B466" t="s">
        <v>1270</v>
      </c>
      <c r="C466">
        <v>75</v>
      </c>
      <c r="D466" t="s">
        <v>22</v>
      </c>
      <c r="E466">
        <v>46005</v>
      </c>
      <c r="F466">
        <v>45442</v>
      </c>
      <c r="G466" t="s">
        <v>1271</v>
      </c>
      <c r="H466" t="s">
        <v>18</v>
      </c>
      <c r="I466">
        <v>255.56</v>
      </c>
      <c r="J466">
        <v>1</v>
      </c>
    </row>
    <row r="467" spans="1:10" x14ac:dyDescent="0.25">
      <c r="A467">
        <v>1031</v>
      </c>
      <c r="B467" t="s">
        <v>1272</v>
      </c>
      <c r="C467">
        <v>33</v>
      </c>
      <c r="D467">
        <v>1</v>
      </c>
      <c r="E467">
        <v>45913</v>
      </c>
      <c r="F467">
        <v>45475</v>
      </c>
      <c r="G467" t="s">
        <v>1273</v>
      </c>
      <c r="H467" t="s">
        <v>18</v>
      </c>
      <c r="I467" t="s">
        <v>1274</v>
      </c>
      <c r="J467">
        <v>1</v>
      </c>
    </row>
    <row r="468" spans="1:10" x14ac:dyDescent="0.25">
      <c r="A468">
        <v>1018</v>
      </c>
      <c r="B468" t="s">
        <v>1275</v>
      </c>
      <c r="C468">
        <v>20</v>
      </c>
      <c r="D468" t="s">
        <v>37</v>
      </c>
      <c r="E468">
        <v>45861</v>
      </c>
      <c r="F468">
        <v>45830</v>
      </c>
      <c r="G468" t="s">
        <v>1276</v>
      </c>
      <c r="H468" t="s">
        <v>24</v>
      </c>
      <c r="I468" t="s">
        <v>1277</v>
      </c>
      <c r="J468" t="s">
        <v>57</v>
      </c>
    </row>
    <row r="469" spans="1:10" x14ac:dyDescent="0.25">
      <c r="A469">
        <v>1081</v>
      </c>
      <c r="B469" t="s">
        <v>1278</v>
      </c>
      <c r="C469">
        <v>42</v>
      </c>
      <c r="D469" t="s">
        <v>37</v>
      </c>
      <c r="E469">
        <v>46096</v>
      </c>
      <c r="F469">
        <v>45435</v>
      </c>
      <c r="G469" t="s">
        <v>1279</v>
      </c>
      <c r="H469" t="s">
        <v>13</v>
      </c>
      <c r="I469" t="s">
        <v>1280</v>
      </c>
      <c r="J469" t="s">
        <v>35</v>
      </c>
    </row>
    <row r="470" spans="1:10" x14ac:dyDescent="0.25">
      <c r="A470">
        <v>1098</v>
      </c>
      <c r="B470" t="s">
        <v>1281</v>
      </c>
      <c r="C470">
        <v>27</v>
      </c>
      <c r="D470">
        <v>0</v>
      </c>
      <c r="E470">
        <v>45883</v>
      </c>
      <c r="F470">
        <v>45628</v>
      </c>
      <c r="G470" t="s">
        <v>1282</v>
      </c>
      <c r="H470" t="s">
        <v>18</v>
      </c>
      <c r="I470" t="s">
        <v>1283</v>
      </c>
      <c r="J470" t="s">
        <v>30</v>
      </c>
    </row>
    <row r="471" spans="1:10" x14ac:dyDescent="0.25">
      <c r="A471">
        <v>1070</v>
      </c>
      <c r="B471" t="s">
        <v>1284</v>
      </c>
      <c r="C471">
        <v>56</v>
      </c>
      <c r="D471" t="s">
        <v>68</v>
      </c>
      <c r="E471">
        <v>45919</v>
      </c>
      <c r="F471">
        <v>45563</v>
      </c>
      <c r="G471" t="s">
        <v>1285</v>
      </c>
      <c r="H471" t="s">
        <v>13</v>
      </c>
      <c r="I471" t="s">
        <v>1286</v>
      </c>
      <c r="J471" t="s">
        <v>20</v>
      </c>
    </row>
    <row r="472" spans="1:10" x14ac:dyDescent="0.25">
      <c r="A472">
        <v>1093</v>
      </c>
      <c r="B472" t="s">
        <v>1287</v>
      </c>
      <c r="C472">
        <v>81</v>
      </c>
      <c r="D472">
        <v>0</v>
      </c>
      <c r="E472">
        <v>46060</v>
      </c>
      <c r="F472">
        <v>45470</v>
      </c>
      <c r="G472" t="s">
        <v>1288</v>
      </c>
      <c r="H472" t="s">
        <v>28</v>
      </c>
      <c r="I472">
        <v>490.67</v>
      </c>
      <c r="J472" t="s">
        <v>35</v>
      </c>
    </row>
    <row r="473" spans="1:10" x14ac:dyDescent="0.25">
      <c r="A473">
        <v>1032</v>
      </c>
      <c r="B473" t="s">
        <v>1289</v>
      </c>
      <c r="C473">
        <v>56</v>
      </c>
      <c r="D473">
        <v>1</v>
      </c>
      <c r="E473">
        <v>45927</v>
      </c>
      <c r="F473">
        <v>45693</v>
      </c>
      <c r="G473" t="s">
        <v>1290</v>
      </c>
      <c r="H473" t="s">
        <v>13</v>
      </c>
      <c r="I473" t="s">
        <v>1291</v>
      </c>
      <c r="J473" t="s">
        <v>30</v>
      </c>
    </row>
    <row r="474" spans="1:10" x14ac:dyDescent="0.25">
      <c r="A474">
        <v>1071</v>
      </c>
      <c r="B474" t="s">
        <v>1292</v>
      </c>
      <c r="C474">
        <v>80</v>
      </c>
      <c r="D474">
        <v>0</v>
      </c>
      <c r="E474">
        <v>45867</v>
      </c>
      <c r="F474">
        <v>45396</v>
      </c>
      <c r="G474" t="s">
        <v>1293</v>
      </c>
      <c r="H474" t="s">
        <v>24</v>
      </c>
      <c r="I474">
        <v>105.64</v>
      </c>
      <c r="J474" t="s">
        <v>30</v>
      </c>
    </row>
    <row r="475" spans="1:10" x14ac:dyDescent="0.25">
      <c r="A475">
        <v>1067</v>
      </c>
      <c r="B475" t="s">
        <v>1294</v>
      </c>
      <c r="C475">
        <v>72</v>
      </c>
      <c r="D475">
        <v>0</v>
      </c>
      <c r="E475">
        <v>46101</v>
      </c>
      <c r="F475">
        <v>45486</v>
      </c>
      <c r="G475" t="s">
        <v>1295</v>
      </c>
      <c r="H475" t="s">
        <v>18</v>
      </c>
      <c r="I475" t="s">
        <v>1296</v>
      </c>
      <c r="J475" t="s">
        <v>57</v>
      </c>
    </row>
    <row r="476" spans="1:10" x14ac:dyDescent="0.25">
      <c r="A476">
        <v>1090</v>
      </c>
      <c r="B476" t="s">
        <v>1297</v>
      </c>
      <c r="C476">
        <v>37</v>
      </c>
      <c r="D476" t="s">
        <v>22</v>
      </c>
      <c r="E476">
        <v>46081</v>
      </c>
      <c r="F476">
        <v>45400</v>
      </c>
      <c r="G476" t="s">
        <v>1298</v>
      </c>
      <c r="H476" t="s">
        <v>28</v>
      </c>
      <c r="I476" t="s">
        <v>1299</v>
      </c>
      <c r="J476">
        <v>0</v>
      </c>
    </row>
    <row r="477" spans="1:10" x14ac:dyDescent="0.25">
      <c r="A477">
        <v>1027</v>
      </c>
      <c r="B477" t="s">
        <v>1300</v>
      </c>
      <c r="C477">
        <v>81</v>
      </c>
      <c r="D477" t="s">
        <v>37</v>
      </c>
      <c r="E477">
        <v>46021</v>
      </c>
      <c r="F477">
        <v>45666</v>
      </c>
      <c r="G477" t="s">
        <v>1301</v>
      </c>
      <c r="H477" t="s">
        <v>28</v>
      </c>
      <c r="I477" t="s">
        <v>1302</v>
      </c>
      <c r="J477">
        <v>0</v>
      </c>
    </row>
    <row r="478" spans="1:10" x14ac:dyDescent="0.25">
      <c r="A478">
        <v>1073</v>
      </c>
      <c r="B478" t="s">
        <v>1303</v>
      </c>
      <c r="C478">
        <v>52</v>
      </c>
      <c r="D478" t="s">
        <v>49</v>
      </c>
      <c r="E478">
        <v>46098</v>
      </c>
      <c r="F478">
        <v>45950</v>
      </c>
      <c r="G478" t="s">
        <v>1304</v>
      </c>
      <c r="H478" t="s">
        <v>24</v>
      </c>
      <c r="I478" t="s">
        <v>1305</v>
      </c>
      <c r="J478" t="s">
        <v>20</v>
      </c>
    </row>
    <row r="479" spans="1:10" x14ac:dyDescent="0.25">
      <c r="A479">
        <v>1092</v>
      </c>
      <c r="B479" t="s">
        <v>1306</v>
      </c>
      <c r="C479">
        <v>79</v>
      </c>
      <c r="D479">
        <v>1</v>
      </c>
      <c r="E479">
        <v>45909</v>
      </c>
      <c r="F479">
        <v>45690</v>
      </c>
      <c r="G479" t="s">
        <v>1307</v>
      </c>
      <c r="H479" t="s">
        <v>24</v>
      </c>
      <c r="I479">
        <v>487.57</v>
      </c>
      <c r="J479" t="s">
        <v>57</v>
      </c>
    </row>
    <row r="480" spans="1:10" x14ac:dyDescent="0.25">
      <c r="A480">
        <v>1083</v>
      </c>
      <c r="B480" t="s">
        <v>1308</v>
      </c>
      <c r="C480">
        <v>56</v>
      </c>
      <c r="D480" t="s">
        <v>16</v>
      </c>
      <c r="E480">
        <v>45979</v>
      </c>
      <c r="F480">
        <v>45695</v>
      </c>
      <c r="G480" t="s">
        <v>1309</v>
      </c>
      <c r="H480" t="s">
        <v>13</v>
      </c>
      <c r="I480" t="s">
        <v>1310</v>
      </c>
      <c r="J480">
        <v>0</v>
      </c>
    </row>
    <row r="481" spans="1:10" x14ac:dyDescent="0.25">
      <c r="A481">
        <v>1091</v>
      </c>
      <c r="B481" t="s">
        <v>1311</v>
      </c>
      <c r="C481">
        <v>74</v>
      </c>
      <c r="D481" t="s">
        <v>68</v>
      </c>
      <c r="E481">
        <v>46002</v>
      </c>
      <c r="F481">
        <v>45770</v>
      </c>
      <c r="G481" t="s">
        <v>1312</v>
      </c>
      <c r="H481" t="s">
        <v>13</v>
      </c>
      <c r="I481" t="s">
        <v>1313</v>
      </c>
      <c r="J481" t="s">
        <v>20</v>
      </c>
    </row>
    <row r="482" spans="1:10" x14ac:dyDescent="0.25">
      <c r="A482">
        <v>1057</v>
      </c>
      <c r="B482" t="s">
        <v>1314</v>
      </c>
      <c r="C482">
        <v>60</v>
      </c>
      <c r="D482" t="s">
        <v>37</v>
      </c>
      <c r="E482">
        <v>46048</v>
      </c>
      <c r="F482">
        <v>45565</v>
      </c>
      <c r="G482" t="s">
        <v>1315</v>
      </c>
      <c r="H482" t="s">
        <v>28</v>
      </c>
      <c r="I482" t="s">
        <v>1316</v>
      </c>
      <c r="J482" t="s">
        <v>35</v>
      </c>
    </row>
    <row r="483" spans="1:10" x14ac:dyDescent="0.25">
      <c r="A483">
        <v>1018</v>
      </c>
      <c r="B483" t="s">
        <v>1317</v>
      </c>
      <c r="C483">
        <v>54</v>
      </c>
      <c r="D483" t="s">
        <v>22</v>
      </c>
      <c r="E483">
        <v>45951</v>
      </c>
      <c r="F483">
        <v>45758</v>
      </c>
      <c r="G483" t="s">
        <v>1318</v>
      </c>
      <c r="H483" t="s">
        <v>28</v>
      </c>
      <c r="I483">
        <v>252.53</v>
      </c>
      <c r="J483" t="s">
        <v>20</v>
      </c>
    </row>
    <row r="484" spans="1:10" x14ac:dyDescent="0.25">
      <c r="A484">
        <v>1002</v>
      </c>
      <c r="B484" t="s">
        <v>1319</v>
      </c>
      <c r="C484">
        <v>89</v>
      </c>
      <c r="D484" t="s">
        <v>16</v>
      </c>
      <c r="E484">
        <v>45847</v>
      </c>
      <c r="F484">
        <v>45660</v>
      </c>
      <c r="G484" t="s">
        <v>1320</v>
      </c>
      <c r="H484" t="s">
        <v>24</v>
      </c>
      <c r="I484" t="s">
        <v>1321</v>
      </c>
      <c r="J484" t="s">
        <v>35</v>
      </c>
    </row>
    <row r="485" spans="1:10" x14ac:dyDescent="0.25">
      <c r="A485">
        <v>1084</v>
      </c>
      <c r="B485" t="s">
        <v>1322</v>
      </c>
      <c r="C485">
        <v>84</v>
      </c>
      <c r="D485">
        <v>0</v>
      </c>
      <c r="E485">
        <v>45801</v>
      </c>
      <c r="F485">
        <v>45422</v>
      </c>
      <c r="G485" t="s">
        <v>1323</v>
      </c>
      <c r="H485" t="s">
        <v>28</v>
      </c>
      <c r="I485" t="s">
        <v>1324</v>
      </c>
      <c r="J485">
        <v>1</v>
      </c>
    </row>
    <row r="486" spans="1:10" x14ac:dyDescent="0.25">
      <c r="A486">
        <v>1005</v>
      </c>
      <c r="B486" t="s">
        <v>1325</v>
      </c>
      <c r="C486">
        <v>80</v>
      </c>
      <c r="D486">
        <v>0</v>
      </c>
      <c r="E486">
        <v>45793</v>
      </c>
      <c r="F486">
        <v>45609</v>
      </c>
      <c r="G486" t="s">
        <v>1326</v>
      </c>
      <c r="H486" t="s">
        <v>24</v>
      </c>
      <c r="I486" t="s">
        <v>1327</v>
      </c>
      <c r="J486" t="s">
        <v>20</v>
      </c>
    </row>
    <row r="487" spans="1:10" x14ac:dyDescent="0.25">
      <c r="A487">
        <v>1094</v>
      </c>
      <c r="B487" t="s">
        <v>1328</v>
      </c>
      <c r="C487">
        <v>59</v>
      </c>
      <c r="D487" t="s">
        <v>11</v>
      </c>
      <c r="E487">
        <v>46079</v>
      </c>
      <c r="F487">
        <v>45529</v>
      </c>
      <c r="G487" t="s">
        <v>1329</v>
      </c>
      <c r="H487" t="s">
        <v>24</v>
      </c>
      <c r="I487" t="s">
        <v>1330</v>
      </c>
      <c r="J487" t="s">
        <v>30</v>
      </c>
    </row>
    <row r="488" spans="1:10" x14ac:dyDescent="0.25">
      <c r="A488">
        <v>1084</v>
      </c>
      <c r="B488" t="s">
        <v>1331</v>
      </c>
      <c r="C488">
        <v>55</v>
      </c>
      <c r="D488" t="s">
        <v>37</v>
      </c>
      <c r="E488">
        <v>45776</v>
      </c>
      <c r="F488">
        <v>45632</v>
      </c>
      <c r="G488" t="s">
        <v>1332</v>
      </c>
      <c r="H488" t="s">
        <v>24</v>
      </c>
      <c r="I488" t="s">
        <v>1333</v>
      </c>
      <c r="J488" t="s">
        <v>57</v>
      </c>
    </row>
    <row r="489" spans="1:10" x14ac:dyDescent="0.25">
      <c r="A489">
        <v>1044</v>
      </c>
      <c r="B489" t="s">
        <v>1334</v>
      </c>
      <c r="C489">
        <v>68</v>
      </c>
      <c r="D489" t="s">
        <v>49</v>
      </c>
      <c r="E489">
        <v>45888</v>
      </c>
      <c r="F489">
        <v>45688</v>
      </c>
      <c r="G489" t="s">
        <v>1335</v>
      </c>
      <c r="H489" t="s">
        <v>18</v>
      </c>
      <c r="I489" t="s">
        <v>1336</v>
      </c>
      <c r="J489" t="s">
        <v>35</v>
      </c>
    </row>
    <row r="490" spans="1:10" x14ac:dyDescent="0.25">
      <c r="A490">
        <v>1067</v>
      </c>
      <c r="B490" t="s">
        <v>1337</v>
      </c>
      <c r="C490">
        <v>60</v>
      </c>
      <c r="D490" t="s">
        <v>68</v>
      </c>
      <c r="E490">
        <v>45969</v>
      </c>
      <c r="F490">
        <v>45746</v>
      </c>
      <c r="G490" t="s">
        <v>1338</v>
      </c>
      <c r="H490" t="s">
        <v>13</v>
      </c>
      <c r="I490" t="s">
        <v>1339</v>
      </c>
      <c r="J490" t="s">
        <v>57</v>
      </c>
    </row>
    <row r="491" spans="1:10" x14ac:dyDescent="0.25">
      <c r="A491">
        <v>1083</v>
      </c>
      <c r="B491" t="s">
        <v>1340</v>
      </c>
      <c r="C491">
        <v>59</v>
      </c>
      <c r="D491" t="s">
        <v>68</v>
      </c>
      <c r="E491">
        <v>45918</v>
      </c>
      <c r="F491">
        <v>45458</v>
      </c>
      <c r="G491" t="s">
        <v>1341</v>
      </c>
      <c r="H491" t="s">
        <v>24</v>
      </c>
      <c r="I491" t="s">
        <v>1342</v>
      </c>
      <c r="J491" t="s">
        <v>20</v>
      </c>
    </row>
    <row r="492" spans="1:10" x14ac:dyDescent="0.25">
      <c r="A492">
        <v>1017</v>
      </c>
      <c r="B492" t="s">
        <v>1343</v>
      </c>
      <c r="C492">
        <v>84</v>
      </c>
      <c r="D492" t="s">
        <v>16</v>
      </c>
      <c r="E492">
        <v>46058</v>
      </c>
      <c r="F492">
        <v>45440</v>
      </c>
      <c r="G492" t="s">
        <v>1344</v>
      </c>
      <c r="H492" t="s">
        <v>18</v>
      </c>
      <c r="I492" t="s">
        <v>1345</v>
      </c>
      <c r="J492" t="s">
        <v>57</v>
      </c>
    </row>
    <row r="493" spans="1:10" x14ac:dyDescent="0.25">
      <c r="A493">
        <v>1080</v>
      </c>
      <c r="B493" t="s">
        <v>1346</v>
      </c>
      <c r="C493">
        <v>38</v>
      </c>
      <c r="D493">
        <v>1</v>
      </c>
      <c r="E493">
        <v>45808</v>
      </c>
      <c r="F493">
        <v>45438</v>
      </c>
      <c r="G493" t="s">
        <v>1347</v>
      </c>
      <c r="H493" t="s">
        <v>18</v>
      </c>
      <c r="I493" t="s">
        <v>1348</v>
      </c>
      <c r="J493">
        <v>1</v>
      </c>
    </row>
    <row r="494" spans="1:10" x14ac:dyDescent="0.25">
      <c r="A494">
        <v>1089</v>
      </c>
      <c r="B494" t="s">
        <v>1349</v>
      </c>
      <c r="C494">
        <v>23</v>
      </c>
      <c r="D494" t="s">
        <v>16</v>
      </c>
      <c r="E494">
        <v>45879</v>
      </c>
      <c r="F494">
        <v>45769</v>
      </c>
      <c r="G494" t="s">
        <v>1350</v>
      </c>
      <c r="H494" t="s">
        <v>28</v>
      </c>
      <c r="I494">
        <v>350</v>
      </c>
      <c r="J494">
        <v>0</v>
      </c>
    </row>
    <row r="495" spans="1:10" x14ac:dyDescent="0.25">
      <c r="A495">
        <v>1070</v>
      </c>
      <c r="B495" t="s">
        <v>1351</v>
      </c>
      <c r="C495">
        <v>62</v>
      </c>
      <c r="D495" t="s">
        <v>11</v>
      </c>
      <c r="E495">
        <v>45909</v>
      </c>
      <c r="F495">
        <v>45621</v>
      </c>
      <c r="G495" t="s">
        <v>1352</v>
      </c>
      <c r="H495" t="s">
        <v>13</v>
      </c>
      <c r="I495" t="s">
        <v>1353</v>
      </c>
      <c r="J495" t="s">
        <v>35</v>
      </c>
    </row>
    <row r="496" spans="1:10" x14ac:dyDescent="0.25">
      <c r="A496">
        <v>1093</v>
      </c>
      <c r="B496" t="s">
        <v>1354</v>
      </c>
      <c r="C496">
        <v>34</v>
      </c>
      <c r="D496">
        <v>0</v>
      </c>
      <c r="E496">
        <v>46085</v>
      </c>
      <c r="F496">
        <v>45546</v>
      </c>
      <c r="G496" t="s">
        <v>1355</v>
      </c>
      <c r="H496" t="s">
        <v>18</v>
      </c>
      <c r="I496">
        <v>248.31</v>
      </c>
      <c r="J496" t="s">
        <v>20</v>
      </c>
    </row>
    <row r="497" spans="1:10" x14ac:dyDescent="0.25">
      <c r="A497">
        <v>1088</v>
      </c>
      <c r="B497" t="s">
        <v>1356</v>
      </c>
      <c r="C497">
        <v>35</v>
      </c>
      <c r="D497" t="s">
        <v>22</v>
      </c>
      <c r="E497">
        <v>45957</v>
      </c>
      <c r="F497">
        <v>45849</v>
      </c>
      <c r="G497" t="s">
        <v>1357</v>
      </c>
      <c r="H497" t="s">
        <v>13</v>
      </c>
      <c r="I497" t="s">
        <v>1358</v>
      </c>
      <c r="J497">
        <v>1</v>
      </c>
    </row>
    <row r="498" spans="1:10" x14ac:dyDescent="0.25">
      <c r="A498">
        <v>1086</v>
      </c>
      <c r="B498" t="s">
        <v>1359</v>
      </c>
      <c r="C498">
        <v>36</v>
      </c>
      <c r="D498" t="s">
        <v>68</v>
      </c>
      <c r="E498">
        <v>46098</v>
      </c>
      <c r="F498">
        <v>45529</v>
      </c>
      <c r="G498" t="s">
        <v>1360</v>
      </c>
      <c r="H498" t="s">
        <v>18</v>
      </c>
      <c r="I498" t="s">
        <v>1361</v>
      </c>
      <c r="J498">
        <v>0</v>
      </c>
    </row>
    <row r="499" spans="1:10" x14ac:dyDescent="0.25">
      <c r="A499">
        <v>1033</v>
      </c>
      <c r="B499" t="s">
        <v>1362</v>
      </c>
      <c r="C499">
        <v>47</v>
      </c>
      <c r="D499">
        <v>0</v>
      </c>
      <c r="E499">
        <v>45994</v>
      </c>
      <c r="F499">
        <v>45893</v>
      </c>
      <c r="G499" t="s">
        <v>1363</v>
      </c>
      <c r="H499" t="s">
        <v>13</v>
      </c>
      <c r="I499" t="s">
        <v>1364</v>
      </c>
      <c r="J499" t="s">
        <v>57</v>
      </c>
    </row>
    <row r="500" spans="1:10" x14ac:dyDescent="0.25">
      <c r="A500">
        <v>1023</v>
      </c>
      <c r="B500" t="s">
        <v>1365</v>
      </c>
      <c r="C500">
        <v>36</v>
      </c>
      <c r="D500">
        <v>1</v>
      </c>
      <c r="E500">
        <v>45943</v>
      </c>
      <c r="F500">
        <v>45665</v>
      </c>
      <c r="G500" t="s">
        <v>1366</v>
      </c>
      <c r="H500" t="s">
        <v>13</v>
      </c>
      <c r="I500" t="s">
        <v>1367</v>
      </c>
      <c r="J500" t="s">
        <v>57</v>
      </c>
    </row>
    <row r="501" spans="1:10" x14ac:dyDescent="0.25">
      <c r="A501">
        <v>1053</v>
      </c>
      <c r="B501" t="s">
        <v>1368</v>
      </c>
      <c r="C501">
        <v>57</v>
      </c>
      <c r="D501">
        <v>0</v>
      </c>
      <c r="E501">
        <v>45836</v>
      </c>
      <c r="F501">
        <v>45598</v>
      </c>
      <c r="G501" t="s">
        <v>1369</v>
      </c>
      <c r="H501" t="s">
        <v>13</v>
      </c>
      <c r="I501" t="s">
        <v>1370</v>
      </c>
      <c r="J501" t="s">
        <v>35</v>
      </c>
    </row>
    <row r="502" spans="1:10" x14ac:dyDescent="0.25">
      <c r="A502">
        <v>1040</v>
      </c>
      <c r="B502" t="s">
        <v>1371</v>
      </c>
      <c r="C502">
        <v>20</v>
      </c>
      <c r="D502" t="s">
        <v>37</v>
      </c>
      <c r="E502">
        <v>45983</v>
      </c>
      <c r="F502">
        <v>45753</v>
      </c>
      <c r="G502" t="s">
        <v>1372</v>
      </c>
      <c r="H502" t="s">
        <v>13</v>
      </c>
      <c r="I502" t="s">
        <v>1373</v>
      </c>
      <c r="J502" t="s">
        <v>30</v>
      </c>
    </row>
    <row r="503" spans="1:10" x14ac:dyDescent="0.25">
      <c r="A503">
        <v>1073</v>
      </c>
      <c r="B503" t="s">
        <v>1374</v>
      </c>
      <c r="C503">
        <v>50</v>
      </c>
      <c r="D503">
        <v>0</v>
      </c>
      <c r="E503">
        <v>45911</v>
      </c>
      <c r="F503">
        <v>45730</v>
      </c>
      <c r="G503" t="s">
        <v>1375</v>
      </c>
      <c r="H503" t="s">
        <v>24</v>
      </c>
      <c r="I503">
        <v>343.79</v>
      </c>
      <c r="J503" t="s">
        <v>35</v>
      </c>
    </row>
    <row r="504" spans="1:10" x14ac:dyDescent="0.25">
      <c r="A504">
        <v>1031</v>
      </c>
      <c r="B504" t="s">
        <v>1376</v>
      </c>
      <c r="C504">
        <v>50</v>
      </c>
      <c r="D504" t="s">
        <v>16</v>
      </c>
      <c r="E504">
        <v>45980</v>
      </c>
      <c r="F504">
        <v>45672</v>
      </c>
      <c r="G504" t="s">
        <v>1377</v>
      </c>
      <c r="H504" t="s">
        <v>18</v>
      </c>
      <c r="I504">
        <v>431.21</v>
      </c>
      <c r="J504">
        <v>1</v>
      </c>
    </row>
    <row r="505" spans="1:10" x14ac:dyDescent="0.25">
      <c r="A505">
        <v>1093</v>
      </c>
      <c r="B505" t="s">
        <v>1378</v>
      </c>
      <c r="C505">
        <v>66</v>
      </c>
      <c r="D505" t="s">
        <v>16</v>
      </c>
      <c r="E505">
        <v>46055</v>
      </c>
      <c r="F505">
        <v>45702</v>
      </c>
      <c r="G505" t="s">
        <v>1379</v>
      </c>
      <c r="H505" t="s">
        <v>24</v>
      </c>
      <c r="I505" t="s">
        <v>1380</v>
      </c>
      <c r="J505">
        <v>1</v>
      </c>
    </row>
    <row r="506" spans="1:10" x14ac:dyDescent="0.25">
      <c r="A506">
        <v>1029</v>
      </c>
      <c r="B506" t="s">
        <v>1381</v>
      </c>
      <c r="C506">
        <v>24</v>
      </c>
      <c r="D506" t="s">
        <v>68</v>
      </c>
      <c r="E506">
        <v>45865</v>
      </c>
      <c r="F506">
        <v>45857</v>
      </c>
      <c r="G506" t="s">
        <v>1382</v>
      </c>
      <c r="H506" t="s">
        <v>18</v>
      </c>
      <c r="I506" t="s">
        <v>1383</v>
      </c>
      <c r="J506" t="s">
        <v>35</v>
      </c>
    </row>
    <row r="507" spans="1:10" x14ac:dyDescent="0.25">
      <c r="A507">
        <v>1082</v>
      </c>
      <c r="B507" t="s">
        <v>1384</v>
      </c>
      <c r="C507">
        <v>72</v>
      </c>
      <c r="D507" t="s">
        <v>49</v>
      </c>
      <c r="E507">
        <v>46002</v>
      </c>
      <c r="F507">
        <v>45681</v>
      </c>
      <c r="G507" t="s">
        <v>1385</v>
      </c>
      <c r="H507" t="s">
        <v>13</v>
      </c>
      <c r="I507" t="s">
        <v>1386</v>
      </c>
      <c r="J507" t="s">
        <v>30</v>
      </c>
    </row>
    <row r="508" spans="1:10" x14ac:dyDescent="0.25">
      <c r="A508">
        <v>1099</v>
      </c>
      <c r="B508" t="s">
        <v>1387</v>
      </c>
      <c r="C508">
        <v>85</v>
      </c>
      <c r="D508" t="s">
        <v>22</v>
      </c>
      <c r="E508">
        <v>45950</v>
      </c>
      <c r="F508">
        <v>45879</v>
      </c>
      <c r="G508" t="s">
        <v>614</v>
      </c>
      <c r="H508" t="s">
        <v>24</v>
      </c>
      <c r="I508" t="s">
        <v>1388</v>
      </c>
      <c r="J508" t="s">
        <v>35</v>
      </c>
    </row>
    <row r="509" spans="1:10" x14ac:dyDescent="0.25">
      <c r="A509">
        <v>1065</v>
      </c>
      <c r="B509" t="s">
        <v>1389</v>
      </c>
      <c r="C509">
        <v>38</v>
      </c>
      <c r="D509" t="s">
        <v>22</v>
      </c>
      <c r="E509">
        <v>45806</v>
      </c>
      <c r="F509">
        <v>45790</v>
      </c>
      <c r="G509" t="s">
        <v>1390</v>
      </c>
      <c r="H509" t="s">
        <v>13</v>
      </c>
      <c r="I509" t="s">
        <v>1391</v>
      </c>
      <c r="J509">
        <v>0</v>
      </c>
    </row>
    <row r="510" spans="1:10" x14ac:dyDescent="0.25">
      <c r="A510">
        <v>1041</v>
      </c>
      <c r="B510" t="s">
        <v>1392</v>
      </c>
      <c r="C510">
        <v>67</v>
      </c>
      <c r="D510" t="s">
        <v>37</v>
      </c>
      <c r="E510">
        <v>45764</v>
      </c>
      <c r="F510">
        <v>45550</v>
      </c>
      <c r="G510" t="s">
        <v>1393</v>
      </c>
      <c r="H510" t="s">
        <v>18</v>
      </c>
      <c r="I510">
        <v>478.18</v>
      </c>
      <c r="J510">
        <v>0</v>
      </c>
    </row>
    <row r="511" spans="1:10" x14ac:dyDescent="0.25">
      <c r="A511">
        <v>1003</v>
      </c>
      <c r="B511" t="s">
        <v>1394</v>
      </c>
      <c r="C511">
        <v>27</v>
      </c>
      <c r="D511">
        <v>0</v>
      </c>
      <c r="E511">
        <v>45813</v>
      </c>
      <c r="F511">
        <v>45729</v>
      </c>
      <c r="G511" t="s">
        <v>1395</v>
      </c>
      <c r="H511" t="s">
        <v>18</v>
      </c>
      <c r="I511" t="s">
        <v>1396</v>
      </c>
      <c r="J511" t="s">
        <v>35</v>
      </c>
    </row>
    <row r="512" spans="1:10" x14ac:dyDescent="0.25">
      <c r="A512">
        <v>1038</v>
      </c>
      <c r="B512" t="s">
        <v>1397</v>
      </c>
      <c r="C512">
        <v>45</v>
      </c>
      <c r="D512" t="s">
        <v>37</v>
      </c>
      <c r="E512">
        <v>46079</v>
      </c>
      <c r="F512">
        <v>45811</v>
      </c>
      <c r="G512" t="s">
        <v>1398</v>
      </c>
      <c r="H512" t="s">
        <v>28</v>
      </c>
      <c r="I512" t="s">
        <v>1399</v>
      </c>
      <c r="J512" t="s">
        <v>35</v>
      </c>
    </row>
    <row r="513" spans="1:10" x14ac:dyDescent="0.25">
      <c r="A513">
        <v>1061</v>
      </c>
      <c r="B513" t="s">
        <v>1400</v>
      </c>
      <c r="C513">
        <v>37</v>
      </c>
      <c r="D513">
        <v>0</v>
      </c>
      <c r="E513">
        <v>45947</v>
      </c>
      <c r="F513">
        <v>45754</v>
      </c>
      <c r="G513" t="s">
        <v>1401</v>
      </c>
      <c r="H513" t="s">
        <v>18</v>
      </c>
      <c r="I513" t="s">
        <v>1402</v>
      </c>
      <c r="J513" t="s">
        <v>30</v>
      </c>
    </row>
    <row r="514" spans="1:10" x14ac:dyDescent="0.25">
      <c r="A514">
        <v>1024</v>
      </c>
      <c r="B514" t="s">
        <v>1403</v>
      </c>
      <c r="C514">
        <v>26</v>
      </c>
      <c r="D514" t="s">
        <v>22</v>
      </c>
      <c r="E514">
        <v>45950</v>
      </c>
      <c r="F514">
        <v>45544</v>
      </c>
      <c r="G514" t="s">
        <v>1404</v>
      </c>
      <c r="H514" t="s">
        <v>18</v>
      </c>
      <c r="I514" t="s">
        <v>1405</v>
      </c>
      <c r="J514" t="s">
        <v>57</v>
      </c>
    </row>
    <row r="515" spans="1:10" x14ac:dyDescent="0.25">
      <c r="A515">
        <v>1017</v>
      </c>
      <c r="B515" t="s">
        <v>1406</v>
      </c>
      <c r="C515">
        <v>86</v>
      </c>
      <c r="D515">
        <v>0</v>
      </c>
      <c r="E515">
        <v>46062</v>
      </c>
      <c r="F515">
        <v>46043</v>
      </c>
      <c r="G515" t="s">
        <v>1407</v>
      </c>
      <c r="H515" t="s">
        <v>24</v>
      </c>
      <c r="I515">
        <v>469.3</v>
      </c>
      <c r="J515">
        <v>0</v>
      </c>
    </row>
    <row r="516" spans="1:10" x14ac:dyDescent="0.25">
      <c r="A516">
        <v>1010</v>
      </c>
      <c r="B516" t="s">
        <v>1408</v>
      </c>
      <c r="C516">
        <v>82</v>
      </c>
      <c r="D516" t="s">
        <v>49</v>
      </c>
      <c r="E516">
        <v>45853</v>
      </c>
      <c r="F516">
        <v>45796</v>
      </c>
      <c r="G516" t="s">
        <v>1409</v>
      </c>
      <c r="H516" t="s">
        <v>18</v>
      </c>
      <c r="I516" t="s">
        <v>1410</v>
      </c>
      <c r="J516" t="s">
        <v>20</v>
      </c>
    </row>
    <row r="517" spans="1:10" x14ac:dyDescent="0.25">
      <c r="A517">
        <v>1096</v>
      </c>
      <c r="B517" t="s">
        <v>1411</v>
      </c>
      <c r="C517">
        <v>82</v>
      </c>
      <c r="D517" t="s">
        <v>68</v>
      </c>
      <c r="E517">
        <v>45792</v>
      </c>
      <c r="F517">
        <v>45790</v>
      </c>
      <c r="G517" t="s">
        <v>1412</v>
      </c>
      <c r="H517" t="s">
        <v>28</v>
      </c>
      <c r="I517" t="s">
        <v>1413</v>
      </c>
      <c r="J517" t="s">
        <v>30</v>
      </c>
    </row>
    <row r="518" spans="1:10" x14ac:dyDescent="0.25">
      <c r="A518">
        <v>1024</v>
      </c>
      <c r="B518" t="s">
        <v>1414</v>
      </c>
      <c r="C518">
        <v>18</v>
      </c>
      <c r="D518" t="s">
        <v>22</v>
      </c>
      <c r="E518">
        <v>45936</v>
      </c>
      <c r="F518">
        <v>45624</v>
      </c>
      <c r="G518" t="s">
        <v>1415</v>
      </c>
      <c r="H518" t="s">
        <v>18</v>
      </c>
      <c r="I518" t="s">
        <v>1416</v>
      </c>
      <c r="J518">
        <v>0</v>
      </c>
    </row>
    <row r="519" spans="1:10" x14ac:dyDescent="0.25">
      <c r="A519">
        <v>1058</v>
      </c>
      <c r="B519" t="s">
        <v>1417</v>
      </c>
      <c r="C519">
        <v>59</v>
      </c>
      <c r="D519" t="s">
        <v>11</v>
      </c>
      <c r="E519">
        <v>46096</v>
      </c>
      <c r="F519">
        <v>45663</v>
      </c>
      <c r="G519" t="s">
        <v>1418</v>
      </c>
      <c r="H519" t="s">
        <v>18</v>
      </c>
      <c r="I519">
        <v>163.52000000000001</v>
      </c>
      <c r="J519" t="s">
        <v>57</v>
      </c>
    </row>
    <row r="520" spans="1:10" x14ac:dyDescent="0.25">
      <c r="A520">
        <v>1068</v>
      </c>
      <c r="B520" t="s">
        <v>1419</v>
      </c>
      <c r="C520">
        <v>37</v>
      </c>
      <c r="D520" t="s">
        <v>49</v>
      </c>
      <c r="E520">
        <v>45979</v>
      </c>
      <c r="F520">
        <v>45614</v>
      </c>
      <c r="G520" t="s">
        <v>1420</v>
      </c>
      <c r="H520" t="s">
        <v>13</v>
      </c>
      <c r="I520" t="s">
        <v>1421</v>
      </c>
      <c r="J520" t="s">
        <v>35</v>
      </c>
    </row>
    <row r="521" spans="1:10" x14ac:dyDescent="0.25">
      <c r="A521">
        <v>1013</v>
      </c>
      <c r="B521" t="s">
        <v>1422</v>
      </c>
      <c r="C521">
        <v>71</v>
      </c>
      <c r="D521">
        <v>0</v>
      </c>
      <c r="E521">
        <v>45874</v>
      </c>
      <c r="F521">
        <v>45845</v>
      </c>
      <c r="G521" t="s">
        <v>1423</v>
      </c>
      <c r="H521" t="s">
        <v>18</v>
      </c>
      <c r="I521">
        <v>400.62</v>
      </c>
      <c r="J521">
        <v>0</v>
      </c>
    </row>
    <row r="522" spans="1:10" x14ac:dyDescent="0.25">
      <c r="A522">
        <v>1009</v>
      </c>
      <c r="B522" t="s">
        <v>1424</v>
      </c>
      <c r="C522">
        <v>49</v>
      </c>
      <c r="D522">
        <v>0</v>
      </c>
      <c r="E522">
        <v>46070</v>
      </c>
      <c r="F522">
        <v>46038</v>
      </c>
      <c r="G522" t="s">
        <v>1425</v>
      </c>
      <c r="H522" t="s">
        <v>13</v>
      </c>
      <c r="I522">
        <v>177.93</v>
      </c>
      <c r="J522" t="s">
        <v>57</v>
      </c>
    </row>
    <row r="523" spans="1:10" x14ac:dyDescent="0.25">
      <c r="A523">
        <v>1031</v>
      </c>
      <c r="B523" t="s">
        <v>1426</v>
      </c>
      <c r="C523">
        <v>35</v>
      </c>
      <c r="D523" t="s">
        <v>22</v>
      </c>
      <c r="E523">
        <v>45844</v>
      </c>
      <c r="F523">
        <v>45721</v>
      </c>
      <c r="G523" t="s">
        <v>1427</v>
      </c>
      <c r="H523" t="s">
        <v>28</v>
      </c>
      <c r="I523" t="s">
        <v>1428</v>
      </c>
      <c r="J523" t="s">
        <v>20</v>
      </c>
    </row>
    <row r="524" spans="1:10" x14ac:dyDescent="0.25">
      <c r="A524">
        <v>1043</v>
      </c>
      <c r="B524" t="s">
        <v>1429</v>
      </c>
      <c r="C524">
        <v>38</v>
      </c>
      <c r="D524" t="s">
        <v>22</v>
      </c>
      <c r="E524">
        <v>46050</v>
      </c>
      <c r="F524">
        <v>45809</v>
      </c>
      <c r="G524" t="s">
        <v>1430</v>
      </c>
      <c r="H524" t="s">
        <v>24</v>
      </c>
      <c r="I524" t="s">
        <v>1431</v>
      </c>
      <c r="J524">
        <v>0</v>
      </c>
    </row>
    <row r="525" spans="1:10" x14ac:dyDescent="0.25">
      <c r="A525">
        <v>1072</v>
      </c>
      <c r="B525" t="s">
        <v>1432</v>
      </c>
      <c r="C525">
        <v>30</v>
      </c>
      <c r="D525" t="s">
        <v>37</v>
      </c>
      <c r="E525">
        <v>46047</v>
      </c>
      <c r="F525">
        <v>45931</v>
      </c>
      <c r="G525" t="s">
        <v>1433</v>
      </c>
      <c r="H525" t="s">
        <v>28</v>
      </c>
      <c r="I525" t="s">
        <v>1434</v>
      </c>
      <c r="J525">
        <v>1</v>
      </c>
    </row>
    <row r="526" spans="1:10" x14ac:dyDescent="0.25">
      <c r="A526">
        <v>1055</v>
      </c>
      <c r="B526" t="s">
        <v>1435</v>
      </c>
      <c r="C526">
        <v>80</v>
      </c>
      <c r="D526" t="s">
        <v>11</v>
      </c>
      <c r="E526">
        <v>45775</v>
      </c>
      <c r="F526">
        <v>45381</v>
      </c>
      <c r="G526" t="s">
        <v>1436</v>
      </c>
      <c r="H526" t="s">
        <v>24</v>
      </c>
      <c r="I526" t="s">
        <v>1437</v>
      </c>
      <c r="J526" t="s">
        <v>57</v>
      </c>
    </row>
    <row r="527" spans="1:10" x14ac:dyDescent="0.25">
      <c r="A527">
        <v>1098</v>
      </c>
      <c r="B527" t="s">
        <v>1438</v>
      </c>
      <c r="C527">
        <v>75</v>
      </c>
      <c r="D527" t="s">
        <v>37</v>
      </c>
      <c r="E527">
        <v>46019</v>
      </c>
      <c r="F527">
        <v>45642</v>
      </c>
      <c r="G527" t="s">
        <v>1439</v>
      </c>
      <c r="H527" t="s">
        <v>24</v>
      </c>
      <c r="I527">
        <v>482.2</v>
      </c>
      <c r="J527">
        <v>1</v>
      </c>
    </row>
    <row r="528" spans="1:10" x14ac:dyDescent="0.25">
      <c r="A528">
        <v>1072</v>
      </c>
      <c r="B528" t="s">
        <v>1440</v>
      </c>
      <c r="C528">
        <v>49</v>
      </c>
      <c r="D528" t="s">
        <v>16</v>
      </c>
      <c r="E528">
        <v>45742</v>
      </c>
      <c r="F528">
        <v>45659</v>
      </c>
      <c r="G528" t="s">
        <v>1441</v>
      </c>
      <c r="H528" t="s">
        <v>13</v>
      </c>
      <c r="I528" t="s">
        <v>1442</v>
      </c>
      <c r="J528" t="s">
        <v>57</v>
      </c>
    </row>
    <row r="529" spans="1:10" x14ac:dyDescent="0.25">
      <c r="A529">
        <v>1070</v>
      </c>
      <c r="B529" t="s">
        <v>1443</v>
      </c>
      <c r="C529">
        <v>24</v>
      </c>
      <c r="D529" t="s">
        <v>22</v>
      </c>
      <c r="E529">
        <v>46052</v>
      </c>
      <c r="F529">
        <v>45642</v>
      </c>
      <c r="G529" t="s">
        <v>1444</v>
      </c>
      <c r="H529" t="s">
        <v>28</v>
      </c>
      <c r="I529" t="s">
        <v>1445</v>
      </c>
      <c r="J529" t="s">
        <v>57</v>
      </c>
    </row>
    <row r="530" spans="1:10" x14ac:dyDescent="0.25">
      <c r="A530">
        <v>1061</v>
      </c>
      <c r="B530" t="s">
        <v>1446</v>
      </c>
      <c r="C530">
        <v>74</v>
      </c>
      <c r="D530" t="s">
        <v>11</v>
      </c>
      <c r="E530">
        <v>45901</v>
      </c>
      <c r="F530">
        <v>45803</v>
      </c>
      <c r="G530" t="s">
        <v>1447</v>
      </c>
      <c r="H530" t="s">
        <v>28</v>
      </c>
      <c r="I530" t="s">
        <v>1448</v>
      </c>
      <c r="J530" t="s">
        <v>35</v>
      </c>
    </row>
    <row r="531" spans="1:10" x14ac:dyDescent="0.25">
      <c r="A531">
        <v>1059</v>
      </c>
      <c r="B531" t="s">
        <v>1449</v>
      </c>
      <c r="C531">
        <v>35</v>
      </c>
      <c r="D531">
        <v>1</v>
      </c>
      <c r="E531">
        <v>45972</v>
      </c>
      <c r="F531">
        <v>45491</v>
      </c>
      <c r="G531" t="s">
        <v>1450</v>
      </c>
      <c r="H531" t="s">
        <v>18</v>
      </c>
      <c r="J531">
        <v>0</v>
      </c>
    </row>
    <row r="532" spans="1:10" x14ac:dyDescent="0.25">
      <c r="A532">
        <v>1091</v>
      </c>
      <c r="B532" t="s">
        <v>1451</v>
      </c>
      <c r="C532">
        <v>85</v>
      </c>
      <c r="D532">
        <v>1</v>
      </c>
      <c r="E532">
        <v>45745</v>
      </c>
      <c r="F532">
        <v>45723</v>
      </c>
      <c r="G532" t="s">
        <v>1452</v>
      </c>
      <c r="H532" t="s">
        <v>13</v>
      </c>
      <c r="I532" t="s">
        <v>1453</v>
      </c>
      <c r="J532" t="s">
        <v>30</v>
      </c>
    </row>
    <row r="533" spans="1:10" x14ac:dyDescent="0.25">
      <c r="A533">
        <v>1003</v>
      </c>
      <c r="B533" t="s">
        <v>1454</v>
      </c>
      <c r="C533">
        <v>64</v>
      </c>
      <c r="D533" t="s">
        <v>11</v>
      </c>
      <c r="E533">
        <v>46046</v>
      </c>
      <c r="F533">
        <v>45696</v>
      </c>
      <c r="G533" t="s">
        <v>1455</v>
      </c>
      <c r="H533" t="s">
        <v>13</v>
      </c>
      <c r="I533" t="s">
        <v>1456</v>
      </c>
      <c r="J533">
        <v>0</v>
      </c>
    </row>
    <row r="534" spans="1:10" x14ac:dyDescent="0.25">
      <c r="A534">
        <v>1087</v>
      </c>
      <c r="B534" t="s">
        <v>1457</v>
      </c>
      <c r="C534">
        <v>70</v>
      </c>
      <c r="D534" t="s">
        <v>11</v>
      </c>
      <c r="E534">
        <v>45912</v>
      </c>
      <c r="F534">
        <v>45446</v>
      </c>
      <c r="G534" t="s">
        <v>1458</v>
      </c>
      <c r="H534" t="s">
        <v>24</v>
      </c>
      <c r="I534" t="s">
        <v>1459</v>
      </c>
      <c r="J534" t="s">
        <v>20</v>
      </c>
    </row>
    <row r="535" spans="1:10" x14ac:dyDescent="0.25">
      <c r="A535">
        <v>1049</v>
      </c>
      <c r="B535" t="s">
        <v>1460</v>
      </c>
      <c r="C535">
        <v>37</v>
      </c>
      <c r="E535">
        <v>45787</v>
      </c>
      <c r="F535">
        <v>45530</v>
      </c>
      <c r="G535" t="s">
        <v>1461</v>
      </c>
      <c r="H535" t="s">
        <v>24</v>
      </c>
      <c r="I535" t="s">
        <v>1462</v>
      </c>
      <c r="J535">
        <v>0</v>
      </c>
    </row>
    <row r="536" spans="1:10" x14ac:dyDescent="0.25">
      <c r="A536">
        <v>1056</v>
      </c>
      <c r="B536" t="s">
        <v>1463</v>
      </c>
      <c r="C536">
        <v>24</v>
      </c>
      <c r="D536" t="s">
        <v>49</v>
      </c>
      <c r="E536">
        <v>45958</v>
      </c>
      <c r="F536">
        <v>45672</v>
      </c>
      <c r="G536" t="s">
        <v>1464</v>
      </c>
      <c r="H536" t="s">
        <v>13</v>
      </c>
      <c r="I536">
        <v>97.67</v>
      </c>
      <c r="J536" t="s">
        <v>35</v>
      </c>
    </row>
    <row r="537" spans="1:10" x14ac:dyDescent="0.25">
      <c r="A537">
        <v>1057</v>
      </c>
      <c r="B537" t="s">
        <v>1465</v>
      </c>
      <c r="C537">
        <v>86</v>
      </c>
      <c r="D537">
        <v>0</v>
      </c>
      <c r="E537">
        <v>45819</v>
      </c>
      <c r="F537">
        <v>45563</v>
      </c>
      <c r="G537" t="s">
        <v>1466</v>
      </c>
      <c r="H537" t="s">
        <v>18</v>
      </c>
      <c r="I537" t="s">
        <v>1467</v>
      </c>
      <c r="J537" t="s">
        <v>30</v>
      </c>
    </row>
    <row r="538" spans="1:10" x14ac:dyDescent="0.25">
      <c r="A538">
        <v>1054</v>
      </c>
      <c r="B538" t="s">
        <v>1468</v>
      </c>
      <c r="C538">
        <v>57</v>
      </c>
      <c r="D538" t="s">
        <v>22</v>
      </c>
      <c r="E538">
        <v>45939</v>
      </c>
      <c r="F538">
        <v>45733</v>
      </c>
      <c r="G538" t="s">
        <v>1469</v>
      </c>
      <c r="H538" t="s">
        <v>24</v>
      </c>
      <c r="I538">
        <v>169.09</v>
      </c>
      <c r="J538" t="s">
        <v>30</v>
      </c>
    </row>
    <row r="539" spans="1:10" x14ac:dyDescent="0.25">
      <c r="A539">
        <v>1040</v>
      </c>
      <c r="B539" t="s">
        <v>1470</v>
      </c>
      <c r="C539">
        <v>20</v>
      </c>
      <c r="D539">
        <v>1</v>
      </c>
      <c r="E539">
        <v>45890</v>
      </c>
      <c r="F539">
        <v>45397</v>
      </c>
      <c r="G539" t="s">
        <v>1471</v>
      </c>
      <c r="H539" t="s">
        <v>13</v>
      </c>
      <c r="J539">
        <v>0</v>
      </c>
    </row>
    <row r="540" spans="1:10" x14ac:dyDescent="0.25">
      <c r="A540">
        <v>1059</v>
      </c>
      <c r="B540" t="s">
        <v>1472</v>
      </c>
      <c r="C540">
        <v>88</v>
      </c>
      <c r="D540" t="s">
        <v>68</v>
      </c>
      <c r="E540">
        <v>45868</v>
      </c>
      <c r="F540">
        <v>45838</v>
      </c>
      <c r="G540" t="s">
        <v>1473</v>
      </c>
      <c r="H540" t="s">
        <v>28</v>
      </c>
      <c r="I540" t="s">
        <v>1474</v>
      </c>
      <c r="J540" t="s">
        <v>20</v>
      </c>
    </row>
    <row r="541" spans="1:10" x14ac:dyDescent="0.25">
      <c r="A541">
        <v>1035</v>
      </c>
      <c r="B541" t="s">
        <v>1475</v>
      </c>
      <c r="C541">
        <v>84</v>
      </c>
      <c r="D541">
        <v>0</v>
      </c>
      <c r="E541">
        <v>45939</v>
      </c>
      <c r="F541">
        <v>45787</v>
      </c>
      <c r="G541" t="s">
        <v>1476</v>
      </c>
      <c r="H541" t="s">
        <v>18</v>
      </c>
      <c r="I541" t="s">
        <v>1477</v>
      </c>
      <c r="J541" t="s">
        <v>30</v>
      </c>
    </row>
    <row r="542" spans="1:10" x14ac:dyDescent="0.25">
      <c r="A542">
        <v>1086</v>
      </c>
      <c r="B542" t="s">
        <v>1478</v>
      </c>
      <c r="C542">
        <v>86</v>
      </c>
      <c r="D542" t="s">
        <v>37</v>
      </c>
      <c r="E542">
        <v>45872</v>
      </c>
      <c r="F542">
        <v>45707</v>
      </c>
      <c r="G542" t="s">
        <v>1479</v>
      </c>
      <c r="H542" t="s">
        <v>18</v>
      </c>
      <c r="I542">
        <v>338.43</v>
      </c>
      <c r="J542" t="s">
        <v>20</v>
      </c>
    </row>
    <row r="543" spans="1:10" x14ac:dyDescent="0.25">
      <c r="A543">
        <v>1050</v>
      </c>
      <c r="B543" t="s">
        <v>1480</v>
      </c>
      <c r="C543">
        <v>60</v>
      </c>
      <c r="D543" t="s">
        <v>16</v>
      </c>
      <c r="E543">
        <v>45783</v>
      </c>
      <c r="F543">
        <v>45576</v>
      </c>
      <c r="G543" t="s">
        <v>1481</v>
      </c>
      <c r="H543" t="s">
        <v>28</v>
      </c>
      <c r="I543">
        <v>453.66</v>
      </c>
      <c r="J543" t="s">
        <v>20</v>
      </c>
    </row>
    <row r="544" spans="1:10" x14ac:dyDescent="0.25">
      <c r="A544">
        <v>1024</v>
      </c>
      <c r="B544" t="s">
        <v>1482</v>
      </c>
      <c r="C544">
        <v>72</v>
      </c>
      <c r="E544">
        <v>45872</v>
      </c>
      <c r="F544">
        <v>45758</v>
      </c>
      <c r="G544" t="s">
        <v>1483</v>
      </c>
      <c r="H544" t="s">
        <v>18</v>
      </c>
      <c r="J544" t="s">
        <v>20</v>
      </c>
    </row>
    <row r="545" spans="1:10" x14ac:dyDescent="0.25">
      <c r="A545">
        <v>1046</v>
      </c>
      <c r="B545" t="s">
        <v>1484</v>
      </c>
      <c r="C545">
        <v>76</v>
      </c>
      <c r="D545" t="s">
        <v>22</v>
      </c>
      <c r="E545">
        <v>46028</v>
      </c>
      <c r="F545">
        <v>45732</v>
      </c>
      <c r="G545" t="s">
        <v>1485</v>
      </c>
      <c r="H545" t="s">
        <v>13</v>
      </c>
      <c r="I545" t="s">
        <v>1486</v>
      </c>
      <c r="J545">
        <v>1</v>
      </c>
    </row>
    <row r="546" spans="1:10" x14ac:dyDescent="0.25">
      <c r="A546">
        <v>1051</v>
      </c>
      <c r="B546" t="s">
        <v>1487</v>
      </c>
      <c r="C546">
        <v>81</v>
      </c>
      <c r="D546" t="s">
        <v>49</v>
      </c>
      <c r="E546">
        <v>46056</v>
      </c>
      <c r="F546">
        <v>45929</v>
      </c>
      <c r="G546" t="s">
        <v>1488</v>
      </c>
      <c r="H546" t="s">
        <v>24</v>
      </c>
      <c r="I546" t="s">
        <v>1489</v>
      </c>
      <c r="J546">
        <v>0</v>
      </c>
    </row>
    <row r="547" spans="1:10" x14ac:dyDescent="0.25">
      <c r="A547">
        <v>1014</v>
      </c>
      <c r="B547" t="s">
        <v>1490</v>
      </c>
      <c r="C547">
        <v>81</v>
      </c>
      <c r="D547" t="s">
        <v>16</v>
      </c>
      <c r="E547">
        <v>45806</v>
      </c>
      <c r="F547">
        <v>45454</v>
      </c>
      <c r="G547" t="s">
        <v>1491</v>
      </c>
      <c r="H547" t="s">
        <v>18</v>
      </c>
      <c r="I547" t="s">
        <v>1492</v>
      </c>
      <c r="J547" t="s">
        <v>20</v>
      </c>
    </row>
    <row r="548" spans="1:10" x14ac:dyDescent="0.25">
      <c r="A548">
        <v>1059</v>
      </c>
      <c r="B548" t="s">
        <v>1493</v>
      </c>
      <c r="C548">
        <v>75</v>
      </c>
      <c r="D548" t="s">
        <v>11</v>
      </c>
      <c r="E548">
        <v>45762</v>
      </c>
      <c r="F548">
        <v>45444</v>
      </c>
      <c r="G548" t="s">
        <v>1494</v>
      </c>
      <c r="H548" t="s">
        <v>13</v>
      </c>
      <c r="I548">
        <v>129.1</v>
      </c>
      <c r="J548" t="s">
        <v>20</v>
      </c>
    </row>
    <row r="549" spans="1:10" x14ac:dyDescent="0.25">
      <c r="A549">
        <v>1040</v>
      </c>
      <c r="B549" t="s">
        <v>1495</v>
      </c>
      <c r="C549">
        <v>77</v>
      </c>
      <c r="D549" t="s">
        <v>49</v>
      </c>
      <c r="E549">
        <v>46006</v>
      </c>
      <c r="F549">
        <v>45523</v>
      </c>
      <c r="G549" t="s">
        <v>1496</v>
      </c>
      <c r="H549" t="s">
        <v>13</v>
      </c>
      <c r="J549">
        <v>0</v>
      </c>
    </row>
    <row r="550" spans="1:10" x14ac:dyDescent="0.25">
      <c r="A550">
        <v>1092</v>
      </c>
      <c r="B550" t="s">
        <v>1497</v>
      </c>
      <c r="C550">
        <v>74</v>
      </c>
      <c r="D550" t="s">
        <v>11</v>
      </c>
      <c r="E550">
        <v>45862</v>
      </c>
      <c r="F550">
        <v>45771</v>
      </c>
      <c r="G550" t="s">
        <v>1498</v>
      </c>
      <c r="H550" t="s">
        <v>28</v>
      </c>
      <c r="I550">
        <v>153.53</v>
      </c>
      <c r="J550" t="s">
        <v>20</v>
      </c>
    </row>
    <row r="551" spans="1:10" x14ac:dyDescent="0.25">
      <c r="A551">
        <v>1010</v>
      </c>
      <c r="B551" t="s">
        <v>1499</v>
      </c>
      <c r="C551">
        <v>60</v>
      </c>
      <c r="D551" t="s">
        <v>22</v>
      </c>
      <c r="E551">
        <v>46048</v>
      </c>
      <c r="F551">
        <v>45421</v>
      </c>
      <c r="G551" t="s">
        <v>1500</v>
      </c>
      <c r="H551" t="s">
        <v>13</v>
      </c>
      <c r="I551" t="s">
        <v>1501</v>
      </c>
      <c r="J551">
        <v>1</v>
      </c>
    </row>
    <row r="552" spans="1:10" x14ac:dyDescent="0.25">
      <c r="A552">
        <v>1032</v>
      </c>
      <c r="B552" t="s">
        <v>1502</v>
      </c>
      <c r="C552">
        <v>28</v>
      </c>
      <c r="D552" t="s">
        <v>22</v>
      </c>
      <c r="E552">
        <v>45852</v>
      </c>
      <c r="F552">
        <v>45520</v>
      </c>
      <c r="G552" t="s">
        <v>1503</v>
      </c>
      <c r="H552" t="s">
        <v>24</v>
      </c>
      <c r="I552" t="s">
        <v>1504</v>
      </c>
      <c r="J552" t="s">
        <v>35</v>
      </c>
    </row>
    <row r="553" spans="1:10" x14ac:dyDescent="0.25">
      <c r="A553">
        <v>1020</v>
      </c>
      <c r="B553" t="s">
        <v>1505</v>
      </c>
      <c r="C553">
        <v>45</v>
      </c>
      <c r="D553" t="s">
        <v>16</v>
      </c>
      <c r="E553">
        <v>45990</v>
      </c>
      <c r="F553">
        <v>45900</v>
      </c>
      <c r="G553" t="s">
        <v>1506</v>
      </c>
      <c r="H553" t="s">
        <v>28</v>
      </c>
      <c r="I553">
        <v>343.21</v>
      </c>
      <c r="J553">
        <v>0</v>
      </c>
    </row>
    <row r="554" spans="1:10" x14ac:dyDescent="0.25">
      <c r="A554">
        <v>1020</v>
      </c>
      <c r="B554" t="s">
        <v>1507</v>
      </c>
      <c r="C554">
        <v>50</v>
      </c>
      <c r="D554" t="s">
        <v>22</v>
      </c>
      <c r="E554">
        <v>45887</v>
      </c>
      <c r="F554">
        <v>45794</v>
      </c>
      <c r="G554" t="s">
        <v>1508</v>
      </c>
      <c r="H554" t="s">
        <v>24</v>
      </c>
      <c r="I554" t="s">
        <v>1509</v>
      </c>
      <c r="J554">
        <v>1</v>
      </c>
    </row>
    <row r="555" spans="1:10" x14ac:dyDescent="0.25">
      <c r="A555">
        <v>1017</v>
      </c>
      <c r="B555" t="s">
        <v>1510</v>
      </c>
      <c r="C555">
        <v>55</v>
      </c>
      <c r="D555" t="s">
        <v>68</v>
      </c>
      <c r="E555">
        <v>45856</v>
      </c>
      <c r="F555">
        <v>45479</v>
      </c>
      <c r="G555" t="s">
        <v>1511</v>
      </c>
      <c r="H555" t="s">
        <v>28</v>
      </c>
      <c r="I555" t="s">
        <v>1512</v>
      </c>
      <c r="J555" t="s">
        <v>30</v>
      </c>
    </row>
    <row r="556" spans="1:10" x14ac:dyDescent="0.25">
      <c r="A556">
        <v>1007</v>
      </c>
      <c r="B556" t="s">
        <v>1513</v>
      </c>
      <c r="C556">
        <v>25</v>
      </c>
      <c r="D556" t="s">
        <v>11</v>
      </c>
      <c r="E556">
        <v>45996</v>
      </c>
      <c r="F556">
        <v>45563</v>
      </c>
      <c r="G556" t="s">
        <v>1514</v>
      </c>
      <c r="H556" t="s">
        <v>24</v>
      </c>
      <c r="I556" t="s">
        <v>1515</v>
      </c>
      <c r="J556">
        <v>1</v>
      </c>
    </row>
    <row r="557" spans="1:10" x14ac:dyDescent="0.25">
      <c r="A557">
        <v>1084</v>
      </c>
      <c r="B557" t="s">
        <v>1516</v>
      </c>
      <c r="C557">
        <v>69</v>
      </c>
      <c r="D557" t="s">
        <v>22</v>
      </c>
      <c r="E557">
        <v>45743</v>
      </c>
      <c r="F557">
        <v>45508</v>
      </c>
      <c r="G557" t="s">
        <v>1517</v>
      </c>
      <c r="H557" t="s">
        <v>28</v>
      </c>
      <c r="I557">
        <v>163.58000000000001</v>
      </c>
      <c r="J557" t="s">
        <v>57</v>
      </c>
    </row>
    <row r="558" spans="1:10" x14ac:dyDescent="0.25">
      <c r="A558">
        <v>1005</v>
      </c>
      <c r="B558" t="s">
        <v>1518</v>
      </c>
      <c r="C558">
        <v>84</v>
      </c>
      <c r="D558" t="s">
        <v>37</v>
      </c>
      <c r="E558">
        <v>46027</v>
      </c>
      <c r="F558">
        <v>45849</v>
      </c>
      <c r="G558" t="s">
        <v>1519</v>
      </c>
      <c r="H558" t="s">
        <v>13</v>
      </c>
      <c r="I558" t="s">
        <v>1520</v>
      </c>
      <c r="J558" t="s">
        <v>57</v>
      </c>
    </row>
    <row r="559" spans="1:10" x14ac:dyDescent="0.25">
      <c r="A559">
        <v>1011</v>
      </c>
      <c r="B559" t="s">
        <v>1521</v>
      </c>
      <c r="C559">
        <v>50</v>
      </c>
      <c r="D559" t="s">
        <v>11</v>
      </c>
      <c r="E559">
        <v>45975</v>
      </c>
      <c r="F559">
        <v>45914</v>
      </c>
      <c r="G559" t="s">
        <v>1522</v>
      </c>
      <c r="H559" t="s">
        <v>13</v>
      </c>
      <c r="I559" t="s">
        <v>1523</v>
      </c>
      <c r="J559">
        <v>0</v>
      </c>
    </row>
    <row r="560" spans="1:10" x14ac:dyDescent="0.25">
      <c r="A560">
        <v>1085</v>
      </c>
      <c r="B560" t="s">
        <v>1524</v>
      </c>
      <c r="C560">
        <v>28</v>
      </c>
      <c r="D560" t="s">
        <v>11</v>
      </c>
      <c r="E560">
        <v>46089</v>
      </c>
      <c r="F560">
        <v>45634</v>
      </c>
      <c r="G560" t="s">
        <v>1525</v>
      </c>
      <c r="H560" t="s">
        <v>18</v>
      </c>
      <c r="J560">
        <v>0</v>
      </c>
    </row>
    <row r="561" spans="1:10" x14ac:dyDescent="0.25">
      <c r="A561">
        <v>1005</v>
      </c>
      <c r="B561" t="s">
        <v>1526</v>
      </c>
      <c r="C561">
        <v>24</v>
      </c>
      <c r="D561" t="s">
        <v>37</v>
      </c>
      <c r="E561">
        <v>45821</v>
      </c>
      <c r="F561">
        <v>45449</v>
      </c>
      <c r="G561" t="s">
        <v>1527</v>
      </c>
      <c r="H561" t="s">
        <v>13</v>
      </c>
      <c r="I561" t="s">
        <v>1528</v>
      </c>
      <c r="J561" t="s">
        <v>57</v>
      </c>
    </row>
    <row r="562" spans="1:10" x14ac:dyDescent="0.25">
      <c r="A562">
        <v>1079</v>
      </c>
      <c r="B562" t="s">
        <v>1529</v>
      </c>
      <c r="C562">
        <v>52</v>
      </c>
      <c r="D562" t="s">
        <v>22</v>
      </c>
      <c r="E562">
        <v>45977</v>
      </c>
      <c r="F562">
        <v>45740</v>
      </c>
      <c r="G562" t="s">
        <v>1530</v>
      </c>
      <c r="H562" t="s">
        <v>13</v>
      </c>
      <c r="I562" t="s">
        <v>1531</v>
      </c>
      <c r="J562">
        <v>0</v>
      </c>
    </row>
    <row r="563" spans="1:10" x14ac:dyDescent="0.25">
      <c r="A563">
        <v>1090</v>
      </c>
      <c r="B563" t="s">
        <v>1532</v>
      </c>
      <c r="C563">
        <v>53</v>
      </c>
      <c r="D563">
        <v>1</v>
      </c>
      <c r="E563">
        <v>46068</v>
      </c>
      <c r="F563">
        <v>45774</v>
      </c>
      <c r="G563" t="s">
        <v>1533</v>
      </c>
      <c r="H563" t="s">
        <v>18</v>
      </c>
      <c r="I563" t="s">
        <v>1534</v>
      </c>
      <c r="J563" t="s">
        <v>20</v>
      </c>
    </row>
    <row r="564" spans="1:10" x14ac:dyDescent="0.25">
      <c r="A564">
        <v>1068</v>
      </c>
      <c r="B564" t="s">
        <v>1535</v>
      </c>
      <c r="C564">
        <v>59</v>
      </c>
      <c r="D564">
        <v>1</v>
      </c>
      <c r="E564">
        <v>45866</v>
      </c>
      <c r="F564">
        <v>45492</v>
      </c>
      <c r="G564" t="s">
        <v>1536</v>
      </c>
      <c r="H564" t="s">
        <v>13</v>
      </c>
      <c r="I564" t="s">
        <v>1537</v>
      </c>
      <c r="J564" t="s">
        <v>57</v>
      </c>
    </row>
    <row r="565" spans="1:10" x14ac:dyDescent="0.25">
      <c r="A565">
        <v>1047</v>
      </c>
      <c r="B565" t="s">
        <v>1538</v>
      </c>
      <c r="C565">
        <v>31</v>
      </c>
      <c r="D565" t="s">
        <v>11</v>
      </c>
      <c r="E565">
        <v>45752</v>
      </c>
      <c r="F565">
        <v>45420</v>
      </c>
      <c r="G565" t="s">
        <v>1539</v>
      </c>
      <c r="H565" t="s">
        <v>13</v>
      </c>
      <c r="I565" t="s">
        <v>1540</v>
      </c>
      <c r="J565" t="s">
        <v>57</v>
      </c>
    </row>
    <row r="566" spans="1:10" x14ac:dyDescent="0.25">
      <c r="A566">
        <v>1009</v>
      </c>
      <c r="B566" t="s">
        <v>1541</v>
      </c>
      <c r="C566">
        <v>74</v>
      </c>
      <c r="D566" t="s">
        <v>68</v>
      </c>
      <c r="E566">
        <v>46100</v>
      </c>
      <c r="F566">
        <v>45987</v>
      </c>
      <c r="G566" t="s">
        <v>1542</v>
      </c>
      <c r="H566" t="s">
        <v>13</v>
      </c>
      <c r="I566" t="s">
        <v>1543</v>
      </c>
      <c r="J566" t="s">
        <v>30</v>
      </c>
    </row>
    <row r="567" spans="1:10" x14ac:dyDescent="0.25">
      <c r="A567">
        <v>1084</v>
      </c>
      <c r="B567" t="s">
        <v>1544</v>
      </c>
      <c r="C567">
        <v>83</v>
      </c>
      <c r="D567" t="s">
        <v>22</v>
      </c>
      <c r="E567">
        <v>46055</v>
      </c>
      <c r="F567">
        <v>45867</v>
      </c>
      <c r="G567" t="s">
        <v>1545</v>
      </c>
      <c r="H567" t="s">
        <v>28</v>
      </c>
      <c r="J567">
        <v>0</v>
      </c>
    </row>
    <row r="568" spans="1:10" x14ac:dyDescent="0.25">
      <c r="A568">
        <v>1016</v>
      </c>
      <c r="B568" t="s">
        <v>1546</v>
      </c>
      <c r="C568">
        <v>31</v>
      </c>
      <c r="D568">
        <v>1</v>
      </c>
      <c r="E568">
        <v>45957</v>
      </c>
      <c r="F568">
        <v>45728</v>
      </c>
      <c r="G568" t="s">
        <v>1547</v>
      </c>
      <c r="H568" t="s">
        <v>18</v>
      </c>
      <c r="I568" t="s">
        <v>1548</v>
      </c>
      <c r="J568" t="s">
        <v>20</v>
      </c>
    </row>
    <row r="569" spans="1:10" x14ac:dyDescent="0.25">
      <c r="A569">
        <v>1068</v>
      </c>
      <c r="B569" t="s">
        <v>1549</v>
      </c>
      <c r="C569">
        <v>63</v>
      </c>
      <c r="D569" t="s">
        <v>49</v>
      </c>
      <c r="E569">
        <v>45932</v>
      </c>
      <c r="F569">
        <v>45449</v>
      </c>
      <c r="G569" t="s">
        <v>1550</v>
      </c>
      <c r="H569" t="s">
        <v>28</v>
      </c>
      <c r="I569" t="s">
        <v>1551</v>
      </c>
      <c r="J569" t="s">
        <v>57</v>
      </c>
    </row>
    <row r="570" spans="1:10" x14ac:dyDescent="0.25">
      <c r="A570">
        <v>1048</v>
      </c>
      <c r="B570" t="s">
        <v>1552</v>
      </c>
      <c r="C570">
        <v>47</v>
      </c>
      <c r="D570" t="s">
        <v>16</v>
      </c>
      <c r="E570">
        <v>45875</v>
      </c>
      <c r="F570">
        <v>45859</v>
      </c>
      <c r="G570" t="s">
        <v>1553</v>
      </c>
      <c r="H570" t="s">
        <v>24</v>
      </c>
      <c r="I570">
        <v>174.04</v>
      </c>
      <c r="J570" t="s">
        <v>35</v>
      </c>
    </row>
    <row r="571" spans="1:10" x14ac:dyDescent="0.25">
      <c r="A571">
        <v>1080</v>
      </c>
      <c r="B571" t="s">
        <v>1554</v>
      </c>
      <c r="C571">
        <v>52</v>
      </c>
      <c r="D571" t="s">
        <v>22</v>
      </c>
      <c r="E571">
        <v>45881</v>
      </c>
      <c r="F571">
        <v>45679</v>
      </c>
      <c r="G571" t="s">
        <v>1555</v>
      </c>
      <c r="H571" t="s">
        <v>18</v>
      </c>
      <c r="I571" t="s">
        <v>1556</v>
      </c>
      <c r="J571" t="s">
        <v>30</v>
      </c>
    </row>
    <row r="572" spans="1:10" x14ac:dyDescent="0.25">
      <c r="A572">
        <v>1030</v>
      </c>
      <c r="B572" t="s">
        <v>1557</v>
      </c>
      <c r="C572">
        <v>66</v>
      </c>
      <c r="D572" t="s">
        <v>11</v>
      </c>
      <c r="E572">
        <v>45953</v>
      </c>
      <c r="F572">
        <v>45437</v>
      </c>
      <c r="G572" t="s">
        <v>1558</v>
      </c>
      <c r="H572" t="s">
        <v>13</v>
      </c>
      <c r="I572" t="s">
        <v>1559</v>
      </c>
      <c r="J572" t="s">
        <v>20</v>
      </c>
    </row>
    <row r="573" spans="1:10" x14ac:dyDescent="0.25">
      <c r="A573">
        <v>1003</v>
      </c>
      <c r="B573" t="s">
        <v>1560</v>
      </c>
      <c r="C573">
        <v>48</v>
      </c>
      <c r="D573" t="s">
        <v>49</v>
      </c>
      <c r="E573">
        <v>45863</v>
      </c>
      <c r="F573">
        <v>45671</v>
      </c>
      <c r="G573" t="s">
        <v>1561</v>
      </c>
      <c r="H573" t="s">
        <v>18</v>
      </c>
      <c r="I573">
        <v>91.94</v>
      </c>
      <c r="J573" t="s">
        <v>57</v>
      </c>
    </row>
    <row r="574" spans="1:10" x14ac:dyDescent="0.25">
      <c r="A574">
        <v>1047</v>
      </c>
      <c r="B574" t="s">
        <v>1562</v>
      </c>
      <c r="C574">
        <v>74</v>
      </c>
      <c r="D574">
        <v>0</v>
      </c>
      <c r="E574">
        <v>45949</v>
      </c>
      <c r="F574">
        <v>45511</v>
      </c>
      <c r="G574" t="s">
        <v>1563</v>
      </c>
      <c r="H574" t="s">
        <v>18</v>
      </c>
      <c r="I574" t="s">
        <v>1564</v>
      </c>
      <c r="J574">
        <v>1</v>
      </c>
    </row>
    <row r="575" spans="1:10" x14ac:dyDescent="0.25">
      <c r="A575">
        <v>1075</v>
      </c>
      <c r="B575" t="s">
        <v>1565</v>
      </c>
      <c r="C575">
        <v>72</v>
      </c>
      <c r="D575">
        <v>1</v>
      </c>
      <c r="E575">
        <v>45824</v>
      </c>
      <c r="F575">
        <v>45527</v>
      </c>
      <c r="G575" t="s">
        <v>1566</v>
      </c>
      <c r="H575" t="s">
        <v>24</v>
      </c>
      <c r="I575">
        <v>175.26</v>
      </c>
      <c r="J575">
        <v>1</v>
      </c>
    </row>
    <row r="576" spans="1:10" x14ac:dyDescent="0.25">
      <c r="A576">
        <v>1072</v>
      </c>
      <c r="B576" t="s">
        <v>1567</v>
      </c>
      <c r="C576">
        <v>49</v>
      </c>
      <c r="D576">
        <v>0</v>
      </c>
      <c r="E576">
        <v>45760</v>
      </c>
      <c r="F576">
        <v>45570</v>
      </c>
      <c r="G576" t="s">
        <v>1568</v>
      </c>
      <c r="H576" t="s">
        <v>18</v>
      </c>
      <c r="I576" t="s">
        <v>1569</v>
      </c>
      <c r="J576" t="s">
        <v>57</v>
      </c>
    </row>
    <row r="577" spans="1:10" x14ac:dyDescent="0.25">
      <c r="A577">
        <v>1001</v>
      </c>
      <c r="B577" t="s">
        <v>1570</v>
      </c>
      <c r="C577">
        <v>33</v>
      </c>
      <c r="D577" t="s">
        <v>16</v>
      </c>
      <c r="E577">
        <v>45975</v>
      </c>
      <c r="F577">
        <v>45906</v>
      </c>
      <c r="G577" t="s">
        <v>1571</v>
      </c>
      <c r="H577" t="s">
        <v>24</v>
      </c>
      <c r="I577">
        <v>381.93</v>
      </c>
      <c r="J577" t="s">
        <v>30</v>
      </c>
    </row>
    <row r="578" spans="1:10" x14ac:dyDescent="0.25">
      <c r="A578">
        <v>1009</v>
      </c>
      <c r="B578" t="s">
        <v>1572</v>
      </c>
      <c r="C578">
        <v>61</v>
      </c>
      <c r="D578">
        <v>1</v>
      </c>
      <c r="E578">
        <v>46023</v>
      </c>
      <c r="F578">
        <v>45883</v>
      </c>
      <c r="G578" t="s">
        <v>1573</v>
      </c>
      <c r="H578" t="s">
        <v>28</v>
      </c>
      <c r="I578" t="s">
        <v>1574</v>
      </c>
      <c r="J578" t="s">
        <v>57</v>
      </c>
    </row>
    <row r="579" spans="1:10" x14ac:dyDescent="0.25">
      <c r="A579">
        <v>1016</v>
      </c>
      <c r="B579" t="s">
        <v>1575</v>
      </c>
      <c r="C579">
        <v>29</v>
      </c>
      <c r="D579" t="s">
        <v>49</v>
      </c>
      <c r="E579">
        <v>45971</v>
      </c>
      <c r="F579">
        <v>45794</v>
      </c>
      <c r="G579" t="s">
        <v>1576</v>
      </c>
      <c r="H579" t="s">
        <v>13</v>
      </c>
      <c r="I579" t="s">
        <v>1577</v>
      </c>
      <c r="J579" t="s">
        <v>20</v>
      </c>
    </row>
    <row r="580" spans="1:10" x14ac:dyDescent="0.25">
      <c r="A580">
        <v>1092</v>
      </c>
      <c r="B580" t="s">
        <v>1578</v>
      </c>
      <c r="C580">
        <v>54</v>
      </c>
      <c r="D580">
        <v>1</v>
      </c>
      <c r="E580">
        <v>45870</v>
      </c>
      <c r="F580">
        <v>45419</v>
      </c>
      <c r="G580" t="s">
        <v>1579</v>
      </c>
      <c r="H580" t="s">
        <v>28</v>
      </c>
      <c r="I580" t="s">
        <v>1580</v>
      </c>
      <c r="J580">
        <v>1</v>
      </c>
    </row>
    <row r="581" spans="1:10" x14ac:dyDescent="0.25">
      <c r="A581">
        <v>1001</v>
      </c>
      <c r="B581" t="s">
        <v>1581</v>
      </c>
      <c r="C581">
        <v>70</v>
      </c>
      <c r="D581" t="s">
        <v>68</v>
      </c>
      <c r="E581">
        <v>46041</v>
      </c>
      <c r="F581">
        <v>45674</v>
      </c>
      <c r="G581" t="s">
        <v>1582</v>
      </c>
      <c r="H581" t="s">
        <v>28</v>
      </c>
      <c r="I581" t="s">
        <v>1583</v>
      </c>
      <c r="J581" t="s">
        <v>20</v>
      </c>
    </row>
    <row r="582" spans="1:10" x14ac:dyDescent="0.25">
      <c r="A582">
        <v>1063</v>
      </c>
      <c r="B582" t="s">
        <v>1584</v>
      </c>
      <c r="C582">
        <v>48</v>
      </c>
      <c r="D582" t="s">
        <v>68</v>
      </c>
      <c r="E582">
        <v>45898</v>
      </c>
      <c r="F582">
        <v>45397</v>
      </c>
      <c r="G582" t="s">
        <v>1585</v>
      </c>
      <c r="H582" t="s">
        <v>24</v>
      </c>
      <c r="I582" t="s">
        <v>1586</v>
      </c>
      <c r="J582" t="s">
        <v>30</v>
      </c>
    </row>
    <row r="583" spans="1:10" x14ac:dyDescent="0.25">
      <c r="A583">
        <v>1061</v>
      </c>
      <c r="B583" t="s">
        <v>1587</v>
      </c>
      <c r="C583">
        <v>67</v>
      </c>
      <c r="D583" t="s">
        <v>22</v>
      </c>
      <c r="E583">
        <v>45977</v>
      </c>
      <c r="F583">
        <v>45657</v>
      </c>
      <c r="G583" t="s">
        <v>1588</v>
      </c>
      <c r="H583" t="s">
        <v>28</v>
      </c>
      <c r="I583" t="s">
        <v>1589</v>
      </c>
      <c r="J583">
        <v>1</v>
      </c>
    </row>
    <row r="584" spans="1:10" x14ac:dyDescent="0.25">
      <c r="A584">
        <v>1036</v>
      </c>
      <c r="B584" t="s">
        <v>1590</v>
      </c>
      <c r="C584">
        <v>41</v>
      </c>
      <c r="D584" t="s">
        <v>49</v>
      </c>
      <c r="E584">
        <v>45837</v>
      </c>
      <c r="F584">
        <v>45556</v>
      </c>
      <c r="G584" t="s">
        <v>1591</v>
      </c>
      <c r="H584" t="s">
        <v>13</v>
      </c>
      <c r="I584" t="s">
        <v>1592</v>
      </c>
      <c r="J584" t="s">
        <v>57</v>
      </c>
    </row>
    <row r="585" spans="1:10" x14ac:dyDescent="0.25">
      <c r="A585">
        <v>1015</v>
      </c>
      <c r="B585" t="s">
        <v>1593</v>
      </c>
      <c r="C585">
        <v>87</v>
      </c>
      <c r="E585">
        <v>45787</v>
      </c>
      <c r="F585">
        <v>45694</v>
      </c>
      <c r="G585" t="s">
        <v>1594</v>
      </c>
      <c r="H585" t="s">
        <v>13</v>
      </c>
      <c r="I585" t="s">
        <v>1595</v>
      </c>
      <c r="J585" t="s">
        <v>35</v>
      </c>
    </row>
    <row r="586" spans="1:10" x14ac:dyDescent="0.25">
      <c r="A586">
        <v>1069</v>
      </c>
      <c r="B586" t="s">
        <v>1596</v>
      </c>
      <c r="C586">
        <v>40</v>
      </c>
      <c r="D586">
        <v>0</v>
      </c>
      <c r="E586">
        <v>46000</v>
      </c>
      <c r="F586">
        <v>45941</v>
      </c>
      <c r="G586" t="s">
        <v>1597</v>
      </c>
      <c r="H586" t="s">
        <v>28</v>
      </c>
      <c r="I586" t="s">
        <v>1598</v>
      </c>
      <c r="J586" t="s">
        <v>35</v>
      </c>
    </row>
    <row r="587" spans="1:10" x14ac:dyDescent="0.25">
      <c r="A587">
        <v>1029</v>
      </c>
      <c r="B587" t="s">
        <v>1599</v>
      </c>
      <c r="C587">
        <v>55</v>
      </c>
      <c r="D587" t="s">
        <v>68</v>
      </c>
      <c r="E587">
        <v>45945</v>
      </c>
      <c r="F587">
        <v>45805</v>
      </c>
      <c r="G587" t="s">
        <v>1600</v>
      </c>
      <c r="H587" t="s">
        <v>18</v>
      </c>
      <c r="I587" t="s">
        <v>1601</v>
      </c>
      <c r="J587" t="s">
        <v>30</v>
      </c>
    </row>
    <row r="588" spans="1:10" x14ac:dyDescent="0.25">
      <c r="A588">
        <v>1037</v>
      </c>
      <c r="B588" t="s">
        <v>1602</v>
      </c>
      <c r="C588">
        <v>90</v>
      </c>
      <c r="D588">
        <v>1</v>
      </c>
      <c r="E588">
        <v>45999</v>
      </c>
      <c r="F588">
        <v>45510</v>
      </c>
      <c r="G588" t="s">
        <v>1603</v>
      </c>
      <c r="H588" t="s">
        <v>13</v>
      </c>
      <c r="I588" t="s">
        <v>1604</v>
      </c>
      <c r="J588" t="s">
        <v>57</v>
      </c>
    </row>
    <row r="589" spans="1:10" x14ac:dyDescent="0.25">
      <c r="A589">
        <v>1071</v>
      </c>
      <c r="B589" t="s">
        <v>1605</v>
      </c>
      <c r="C589">
        <v>25</v>
      </c>
      <c r="D589" t="s">
        <v>11</v>
      </c>
      <c r="E589">
        <v>46077</v>
      </c>
      <c r="F589">
        <v>45982</v>
      </c>
      <c r="G589" t="s">
        <v>1606</v>
      </c>
      <c r="H589" t="s">
        <v>28</v>
      </c>
      <c r="I589" t="s">
        <v>1607</v>
      </c>
      <c r="J589">
        <v>0</v>
      </c>
    </row>
    <row r="590" spans="1:10" x14ac:dyDescent="0.25">
      <c r="A590">
        <v>1023</v>
      </c>
      <c r="B590" t="s">
        <v>1608</v>
      </c>
      <c r="C590">
        <v>46</v>
      </c>
      <c r="D590" t="s">
        <v>37</v>
      </c>
      <c r="E590">
        <v>46060</v>
      </c>
      <c r="F590">
        <v>45645</v>
      </c>
      <c r="G590" t="s">
        <v>1609</v>
      </c>
      <c r="H590" t="s">
        <v>24</v>
      </c>
      <c r="I590">
        <v>351.94</v>
      </c>
      <c r="J590">
        <v>1</v>
      </c>
    </row>
    <row r="591" spans="1:10" x14ac:dyDescent="0.25">
      <c r="A591">
        <v>1074</v>
      </c>
      <c r="B591" t="s">
        <v>1610</v>
      </c>
      <c r="C591">
        <v>75</v>
      </c>
      <c r="D591">
        <v>1</v>
      </c>
      <c r="E591">
        <v>45884</v>
      </c>
      <c r="F591">
        <v>45459</v>
      </c>
      <c r="G591" t="s">
        <v>1611</v>
      </c>
      <c r="H591" t="s">
        <v>24</v>
      </c>
      <c r="I591">
        <v>59.55</v>
      </c>
      <c r="J591" t="s">
        <v>20</v>
      </c>
    </row>
    <row r="592" spans="1:10" x14ac:dyDescent="0.25">
      <c r="A592">
        <v>1039</v>
      </c>
      <c r="B592" t="s">
        <v>1612</v>
      </c>
      <c r="C592">
        <v>68</v>
      </c>
      <c r="D592" t="s">
        <v>49</v>
      </c>
      <c r="E592">
        <v>45779</v>
      </c>
      <c r="F592">
        <v>45703</v>
      </c>
      <c r="G592" t="s">
        <v>1464</v>
      </c>
      <c r="H592" t="s">
        <v>18</v>
      </c>
      <c r="I592" t="s">
        <v>1613</v>
      </c>
      <c r="J592" t="s">
        <v>30</v>
      </c>
    </row>
    <row r="593" spans="1:10" x14ac:dyDescent="0.25">
      <c r="A593">
        <v>1071</v>
      </c>
      <c r="B593" t="s">
        <v>1614</v>
      </c>
      <c r="C593">
        <v>88</v>
      </c>
      <c r="D593" t="s">
        <v>22</v>
      </c>
      <c r="E593">
        <v>45996</v>
      </c>
      <c r="F593">
        <v>45506</v>
      </c>
      <c r="G593" t="s">
        <v>1615</v>
      </c>
      <c r="H593" t="s">
        <v>24</v>
      </c>
      <c r="I593" t="s">
        <v>1616</v>
      </c>
      <c r="J593" t="s">
        <v>20</v>
      </c>
    </row>
    <row r="594" spans="1:10" x14ac:dyDescent="0.25">
      <c r="A594">
        <v>1039</v>
      </c>
      <c r="B594" t="s">
        <v>1617</v>
      </c>
      <c r="C594">
        <v>47</v>
      </c>
      <c r="D594" t="s">
        <v>16</v>
      </c>
      <c r="E594">
        <v>45827</v>
      </c>
      <c r="F594">
        <v>45419</v>
      </c>
      <c r="G594" t="s">
        <v>1618</v>
      </c>
      <c r="H594" t="s">
        <v>18</v>
      </c>
      <c r="I594">
        <v>197.72</v>
      </c>
      <c r="J594" t="s">
        <v>20</v>
      </c>
    </row>
    <row r="595" spans="1:10" x14ac:dyDescent="0.25">
      <c r="A595">
        <v>1082</v>
      </c>
      <c r="B595" t="s">
        <v>1619</v>
      </c>
      <c r="C595">
        <v>57</v>
      </c>
      <c r="D595">
        <v>0</v>
      </c>
      <c r="E595">
        <v>45965</v>
      </c>
      <c r="F595">
        <v>45737</v>
      </c>
      <c r="G595" t="s">
        <v>1620</v>
      </c>
      <c r="H595" t="s">
        <v>13</v>
      </c>
      <c r="I595" t="s">
        <v>1621</v>
      </c>
      <c r="J595">
        <v>0</v>
      </c>
    </row>
    <row r="596" spans="1:10" x14ac:dyDescent="0.25">
      <c r="A596">
        <v>1084</v>
      </c>
      <c r="B596" t="s">
        <v>1622</v>
      </c>
      <c r="C596">
        <v>71</v>
      </c>
      <c r="D596" t="s">
        <v>22</v>
      </c>
      <c r="E596">
        <v>45767</v>
      </c>
      <c r="F596">
        <v>45504</v>
      </c>
      <c r="G596" t="s">
        <v>1623</v>
      </c>
      <c r="H596" t="s">
        <v>13</v>
      </c>
      <c r="I596">
        <v>95.4</v>
      </c>
      <c r="J596" t="s">
        <v>57</v>
      </c>
    </row>
    <row r="597" spans="1:10" x14ac:dyDescent="0.25">
      <c r="A597">
        <v>1089</v>
      </c>
      <c r="B597" t="s">
        <v>1624</v>
      </c>
      <c r="C597">
        <v>68</v>
      </c>
      <c r="D597" t="s">
        <v>11</v>
      </c>
      <c r="E597">
        <v>45750</v>
      </c>
      <c r="F597">
        <v>45510</v>
      </c>
      <c r="G597" t="s">
        <v>1625</v>
      </c>
      <c r="H597" t="s">
        <v>18</v>
      </c>
      <c r="I597" t="s">
        <v>1626</v>
      </c>
      <c r="J597">
        <v>0</v>
      </c>
    </row>
    <row r="598" spans="1:10" x14ac:dyDescent="0.25">
      <c r="A598">
        <v>1031</v>
      </c>
      <c r="B598" t="s">
        <v>639</v>
      </c>
      <c r="C598">
        <v>44</v>
      </c>
      <c r="D598" t="s">
        <v>22</v>
      </c>
      <c r="E598">
        <v>46041</v>
      </c>
      <c r="F598">
        <v>45457</v>
      </c>
      <c r="G598" t="s">
        <v>1627</v>
      </c>
      <c r="H598" t="s">
        <v>18</v>
      </c>
      <c r="I598" t="s">
        <v>1628</v>
      </c>
      <c r="J598" t="s">
        <v>57</v>
      </c>
    </row>
    <row r="599" spans="1:10" x14ac:dyDescent="0.25">
      <c r="A599">
        <v>1053</v>
      </c>
      <c r="B599" t="s">
        <v>1629</v>
      </c>
      <c r="C599">
        <v>70</v>
      </c>
      <c r="D599" t="s">
        <v>49</v>
      </c>
      <c r="E599">
        <v>46012</v>
      </c>
      <c r="F599">
        <v>45876</v>
      </c>
      <c r="G599" t="s">
        <v>1630</v>
      </c>
      <c r="H599" t="s">
        <v>24</v>
      </c>
      <c r="I599" t="s">
        <v>1631</v>
      </c>
      <c r="J599" t="s">
        <v>30</v>
      </c>
    </row>
    <row r="600" spans="1:10" x14ac:dyDescent="0.25">
      <c r="A600">
        <v>1048</v>
      </c>
      <c r="B600" t="s">
        <v>1632</v>
      </c>
      <c r="C600">
        <v>67</v>
      </c>
      <c r="D600" t="s">
        <v>49</v>
      </c>
      <c r="E600">
        <v>45841</v>
      </c>
      <c r="F600">
        <v>45503</v>
      </c>
      <c r="G600" t="s">
        <v>1633</v>
      </c>
      <c r="H600" t="s">
        <v>24</v>
      </c>
      <c r="J600" t="s">
        <v>35</v>
      </c>
    </row>
    <row r="601" spans="1:10" x14ac:dyDescent="0.25">
      <c r="A601">
        <v>1075</v>
      </c>
      <c r="B601" t="s">
        <v>1634</v>
      </c>
      <c r="C601">
        <v>67</v>
      </c>
      <c r="D601" t="s">
        <v>11</v>
      </c>
      <c r="E601">
        <v>45820</v>
      </c>
      <c r="F601">
        <v>45795</v>
      </c>
      <c r="G601" t="s">
        <v>1635</v>
      </c>
      <c r="H601" t="s">
        <v>24</v>
      </c>
      <c r="I601">
        <v>161.5</v>
      </c>
      <c r="J601" t="s">
        <v>30</v>
      </c>
    </row>
    <row r="602" spans="1:10" x14ac:dyDescent="0.25">
      <c r="A602">
        <v>1033</v>
      </c>
      <c r="B602" t="s">
        <v>1636</v>
      </c>
      <c r="C602">
        <v>38</v>
      </c>
      <c r="D602">
        <v>0</v>
      </c>
      <c r="E602">
        <v>45796</v>
      </c>
      <c r="F602">
        <v>45493</v>
      </c>
      <c r="G602" t="s">
        <v>1637</v>
      </c>
      <c r="H602" t="s">
        <v>18</v>
      </c>
      <c r="I602" t="s">
        <v>1638</v>
      </c>
      <c r="J602">
        <v>0</v>
      </c>
    </row>
    <row r="603" spans="1:10" x14ac:dyDescent="0.25">
      <c r="A603">
        <v>1054</v>
      </c>
      <c r="B603" t="s">
        <v>1639</v>
      </c>
      <c r="C603">
        <v>82</v>
      </c>
      <c r="D603" t="s">
        <v>68</v>
      </c>
      <c r="E603">
        <v>45824</v>
      </c>
      <c r="F603">
        <v>45383</v>
      </c>
      <c r="G603" t="s">
        <v>1640</v>
      </c>
      <c r="H603" t="s">
        <v>28</v>
      </c>
      <c r="I603" t="s">
        <v>1641</v>
      </c>
      <c r="J603" t="s">
        <v>35</v>
      </c>
    </row>
    <row r="604" spans="1:10" x14ac:dyDescent="0.25">
      <c r="A604">
        <v>1020</v>
      </c>
      <c r="B604" t="s">
        <v>1642</v>
      </c>
      <c r="C604">
        <v>53</v>
      </c>
      <c r="D604" t="s">
        <v>68</v>
      </c>
      <c r="E604">
        <v>45862</v>
      </c>
      <c r="F604">
        <v>45691</v>
      </c>
      <c r="G604" t="s">
        <v>1643</v>
      </c>
      <c r="H604" t="s">
        <v>24</v>
      </c>
      <c r="I604" t="s">
        <v>1644</v>
      </c>
      <c r="J604" t="s">
        <v>20</v>
      </c>
    </row>
    <row r="605" spans="1:10" x14ac:dyDescent="0.25">
      <c r="A605">
        <v>1006</v>
      </c>
      <c r="B605" t="s">
        <v>1645</v>
      </c>
      <c r="C605">
        <v>33</v>
      </c>
      <c r="D605">
        <v>0</v>
      </c>
      <c r="E605">
        <v>45780</v>
      </c>
      <c r="F605">
        <v>45619</v>
      </c>
      <c r="G605" t="s">
        <v>1646</v>
      </c>
      <c r="H605" t="s">
        <v>18</v>
      </c>
      <c r="I605" t="s">
        <v>1647</v>
      </c>
      <c r="J605">
        <v>0</v>
      </c>
    </row>
    <row r="606" spans="1:10" x14ac:dyDescent="0.25">
      <c r="A606">
        <v>1100</v>
      </c>
      <c r="B606" t="s">
        <v>1648</v>
      </c>
      <c r="C606">
        <v>60</v>
      </c>
      <c r="D606" t="s">
        <v>68</v>
      </c>
      <c r="E606">
        <v>46068</v>
      </c>
      <c r="F606">
        <v>45396</v>
      </c>
      <c r="G606" t="s">
        <v>1649</v>
      </c>
      <c r="H606" t="s">
        <v>24</v>
      </c>
      <c r="I606" t="s">
        <v>1650</v>
      </c>
      <c r="J606" t="s">
        <v>20</v>
      </c>
    </row>
    <row r="607" spans="1:10" x14ac:dyDescent="0.25">
      <c r="A607">
        <v>1061</v>
      </c>
      <c r="B607" t="s">
        <v>1651</v>
      </c>
      <c r="C607">
        <v>65</v>
      </c>
      <c r="D607" t="s">
        <v>68</v>
      </c>
      <c r="E607">
        <v>45970</v>
      </c>
      <c r="F607">
        <v>45612</v>
      </c>
      <c r="G607" t="s">
        <v>1652</v>
      </c>
      <c r="H607" t="s">
        <v>24</v>
      </c>
      <c r="I607" t="s">
        <v>1653</v>
      </c>
      <c r="J607" t="s">
        <v>57</v>
      </c>
    </row>
    <row r="608" spans="1:10" x14ac:dyDescent="0.25">
      <c r="A608">
        <v>1040</v>
      </c>
      <c r="B608" t="s">
        <v>1455</v>
      </c>
      <c r="C608">
        <v>49</v>
      </c>
      <c r="D608" t="s">
        <v>16</v>
      </c>
      <c r="E608">
        <v>45829</v>
      </c>
      <c r="F608">
        <v>45573</v>
      </c>
      <c r="G608" t="s">
        <v>1654</v>
      </c>
      <c r="H608" t="s">
        <v>28</v>
      </c>
      <c r="I608" t="s">
        <v>1655</v>
      </c>
      <c r="J608" t="s">
        <v>57</v>
      </c>
    </row>
    <row r="609" spans="1:10" x14ac:dyDescent="0.25">
      <c r="A609">
        <v>1010</v>
      </c>
      <c r="B609" t="s">
        <v>1656</v>
      </c>
      <c r="C609">
        <v>23</v>
      </c>
      <c r="D609" t="s">
        <v>37</v>
      </c>
      <c r="E609">
        <v>45759</v>
      </c>
      <c r="F609">
        <v>45548</v>
      </c>
      <c r="G609" t="s">
        <v>1657</v>
      </c>
      <c r="H609" t="s">
        <v>13</v>
      </c>
      <c r="I609" t="s">
        <v>1658</v>
      </c>
      <c r="J609">
        <v>0</v>
      </c>
    </row>
    <row r="610" spans="1:10" x14ac:dyDescent="0.25">
      <c r="A610">
        <v>1030</v>
      </c>
      <c r="B610" t="s">
        <v>1659</v>
      </c>
      <c r="C610">
        <v>69</v>
      </c>
      <c r="D610" t="s">
        <v>68</v>
      </c>
      <c r="E610">
        <v>46024</v>
      </c>
      <c r="F610">
        <v>45558</v>
      </c>
      <c r="G610" t="s">
        <v>1660</v>
      </c>
      <c r="H610" t="s">
        <v>24</v>
      </c>
      <c r="I610" t="s">
        <v>1661</v>
      </c>
      <c r="J610" t="s">
        <v>20</v>
      </c>
    </row>
    <row r="611" spans="1:10" x14ac:dyDescent="0.25">
      <c r="A611">
        <v>1093</v>
      </c>
      <c r="B611" t="s">
        <v>1662</v>
      </c>
      <c r="C611">
        <v>72</v>
      </c>
      <c r="D611" t="s">
        <v>68</v>
      </c>
      <c r="E611">
        <v>45828</v>
      </c>
      <c r="F611">
        <v>45553</v>
      </c>
      <c r="G611" t="s">
        <v>1663</v>
      </c>
      <c r="H611" t="s">
        <v>28</v>
      </c>
      <c r="I611">
        <v>194.55</v>
      </c>
      <c r="J611" t="s">
        <v>20</v>
      </c>
    </row>
    <row r="612" spans="1:10" x14ac:dyDescent="0.25">
      <c r="A612">
        <v>1008</v>
      </c>
      <c r="B612" t="s">
        <v>1664</v>
      </c>
      <c r="C612">
        <v>82</v>
      </c>
      <c r="D612" t="s">
        <v>49</v>
      </c>
      <c r="E612">
        <v>46084</v>
      </c>
      <c r="F612">
        <v>45599</v>
      </c>
      <c r="G612" t="s">
        <v>1665</v>
      </c>
      <c r="H612" t="s">
        <v>13</v>
      </c>
      <c r="I612" t="s">
        <v>1666</v>
      </c>
      <c r="J612">
        <v>0</v>
      </c>
    </row>
    <row r="613" spans="1:10" x14ac:dyDescent="0.25">
      <c r="A613">
        <v>1087</v>
      </c>
      <c r="B613" t="s">
        <v>1667</v>
      </c>
      <c r="C613">
        <v>69</v>
      </c>
      <c r="D613" t="s">
        <v>37</v>
      </c>
      <c r="E613">
        <v>45932</v>
      </c>
      <c r="F613">
        <v>45711</v>
      </c>
      <c r="G613" t="s">
        <v>1668</v>
      </c>
      <c r="H613" t="s">
        <v>13</v>
      </c>
      <c r="I613" t="s">
        <v>1669</v>
      </c>
      <c r="J613" t="s">
        <v>20</v>
      </c>
    </row>
    <row r="614" spans="1:10" x14ac:dyDescent="0.25">
      <c r="A614">
        <v>1008</v>
      </c>
      <c r="B614" t="s">
        <v>1670</v>
      </c>
      <c r="C614">
        <v>30</v>
      </c>
      <c r="D614" t="s">
        <v>22</v>
      </c>
      <c r="E614">
        <v>46074</v>
      </c>
      <c r="F614">
        <v>45800</v>
      </c>
      <c r="G614" t="s">
        <v>1671</v>
      </c>
      <c r="H614" t="s">
        <v>13</v>
      </c>
      <c r="I614" t="s">
        <v>1672</v>
      </c>
      <c r="J614" t="s">
        <v>20</v>
      </c>
    </row>
    <row r="615" spans="1:10" x14ac:dyDescent="0.25">
      <c r="A615">
        <v>1090</v>
      </c>
      <c r="B615" t="s">
        <v>1673</v>
      </c>
      <c r="C615">
        <v>30</v>
      </c>
      <c r="D615" t="s">
        <v>11</v>
      </c>
      <c r="E615">
        <v>45801</v>
      </c>
      <c r="F615">
        <v>45478</v>
      </c>
      <c r="G615" t="s">
        <v>1674</v>
      </c>
      <c r="H615" t="s">
        <v>24</v>
      </c>
      <c r="I615" t="s">
        <v>1675</v>
      </c>
      <c r="J615">
        <v>1</v>
      </c>
    </row>
    <row r="616" spans="1:10" x14ac:dyDescent="0.25">
      <c r="A616">
        <v>1047</v>
      </c>
      <c r="B616" t="s">
        <v>1676</v>
      </c>
      <c r="C616">
        <v>39</v>
      </c>
      <c r="D616">
        <v>1</v>
      </c>
      <c r="E616">
        <v>46107</v>
      </c>
      <c r="F616">
        <v>45893</v>
      </c>
      <c r="G616" t="s">
        <v>1677</v>
      </c>
      <c r="H616" t="s">
        <v>24</v>
      </c>
      <c r="I616" t="s">
        <v>1678</v>
      </c>
      <c r="J616" t="s">
        <v>30</v>
      </c>
    </row>
    <row r="617" spans="1:10" x14ac:dyDescent="0.25">
      <c r="A617">
        <v>1077</v>
      </c>
      <c r="B617" t="s">
        <v>1679</v>
      </c>
      <c r="C617">
        <v>78</v>
      </c>
      <c r="D617">
        <v>0</v>
      </c>
      <c r="E617">
        <v>46010</v>
      </c>
      <c r="F617">
        <v>45915</v>
      </c>
      <c r="G617" t="s">
        <v>1680</v>
      </c>
      <c r="H617" t="s">
        <v>18</v>
      </c>
      <c r="I617" t="s">
        <v>1681</v>
      </c>
      <c r="J617">
        <v>1</v>
      </c>
    </row>
    <row r="618" spans="1:10" x14ac:dyDescent="0.25">
      <c r="A618">
        <v>1055</v>
      </c>
      <c r="B618" t="s">
        <v>1682</v>
      </c>
      <c r="C618">
        <v>70</v>
      </c>
      <c r="D618" t="s">
        <v>37</v>
      </c>
      <c r="E618">
        <v>45895</v>
      </c>
      <c r="F618">
        <v>45645</v>
      </c>
      <c r="G618" t="s">
        <v>1683</v>
      </c>
      <c r="H618" t="s">
        <v>18</v>
      </c>
      <c r="I618">
        <v>212.66</v>
      </c>
      <c r="J618">
        <v>0</v>
      </c>
    </row>
    <row r="619" spans="1:10" x14ac:dyDescent="0.25">
      <c r="A619">
        <v>1073</v>
      </c>
      <c r="B619" t="s">
        <v>1684</v>
      </c>
      <c r="C619">
        <v>50</v>
      </c>
      <c r="E619">
        <v>46041</v>
      </c>
      <c r="F619">
        <v>45383</v>
      </c>
      <c r="G619" t="s">
        <v>1685</v>
      </c>
      <c r="H619" t="s">
        <v>24</v>
      </c>
      <c r="I619" t="s">
        <v>1686</v>
      </c>
      <c r="J619">
        <v>0</v>
      </c>
    </row>
    <row r="620" spans="1:10" x14ac:dyDescent="0.25">
      <c r="A620">
        <v>1016</v>
      </c>
      <c r="B620" t="s">
        <v>1687</v>
      </c>
      <c r="C620">
        <v>40</v>
      </c>
      <c r="E620">
        <v>45807</v>
      </c>
      <c r="F620">
        <v>45800</v>
      </c>
      <c r="G620" t="s">
        <v>1688</v>
      </c>
      <c r="H620" t="s">
        <v>18</v>
      </c>
      <c r="I620">
        <v>136.22999999999999</v>
      </c>
      <c r="J620">
        <v>1</v>
      </c>
    </row>
    <row r="621" spans="1:10" x14ac:dyDescent="0.25">
      <c r="A621">
        <v>1018</v>
      </c>
      <c r="B621" t="s">
        <v>1689</v>
      </c>
      <c r="C621">
        <v>56</v>
      </c>
      <c r="D621" t="s">
        <v>11</v>
      </c>
      <c r="E621">
        <v>46081</v>
      </c>
      <c r="F621">
        <v>45696</v>
      </c>
      <c r="G621" t="s">
        <v>1690</v>
      </c>
      <c r="H621" t="s">
        <v>13</v>
      </c>
      <c r="I621" t="s">
        <v>1691</v>
      </c>
      <c r="J621">
        <v>1</v>
      </c>
    </row>
    <row r="622" spans="1:10" x14ac:dyDescent="0.25">
      <c r="A622">
        <v>1035</v>
      </c>
      <c r="B622" t="s">
        <v>1692</v>
      </c>
      <c r="C622">
        <v>90</v>
      </c>
      <c r="D622">
        <v>0</v>
      </c>
      <c r="E622">
        <v>45876</v>
      </c>
      <c r="F622">
        <v>45649</v>
      </c>
      <c r="G622" t="s">
        <v>1693</v>
      </c>
      <c r="H622" t="s">
        <v>24</v>
      </c>
      <c r="I622" t="s">
        <v>1694</v>
      </c>
      <c r="J622">
        <v>0</v>
      </c>
    </row>
    <row r="623" spans="1:10" x14ac:dyDescent="0.25">
      <c r="A623">
        <v>1032</v>
      </c>
      <c r="B623" t="s">
        <v>1695</v>
      </c>
      <c r="C623">
        <v>89</v>
      </c>
      <c r="D623" t="s">
        <v>68</v>
      </c>
      <c r="E623">
        <v>46071</v>
      </c>
      <c r="F623">
        <v>45599</v>
      </c>
      <c r="G623" t="s">
        <v>1696</v>
      </c>
      <c r="H623" t="s">
        <v>18</v>
      </c>
      <c r="I623" t="s">
        <v>1697</v>
      </c>
      <c r="J623" t="s">
        <v>57</v>
      </c>
    </row>
    <row r="624" spans="1:10" x14ac:dyDescent="0.25">
      <c r="A624">
        <v>1024</v>
      </c>
      <c r="B624" t="s">
        <v>1698</v>
      </c>
      <c r="C624">
        <v>20</v>
      </c>
      <c r="D624" t="s">
        <v>22</v>
      </c>
      <c r="E624">
        <v>45977</v>
      </c>
      <c r="F624">
        <v>45615</v>
      </c>
      <c r="G624" t="s">
        <v>1699</v>
      </c>
      <c r="H624" t="s">
        <v>28</v>
      </c>
      <c r="I624">
        <v>190.44</v>
      </c>
      <c r="J624" t="s">
        <v>57</v>
      </c>
    </row>
    <row r="625" spans="1:10" x14ac:dyDescent="0.25">
      <c r="A625">
        <v>1044</v>
      </c>
      <c r="B625" t="s">
        <v>1700</v>
      </c>
      <c r="C625">
        <v>25</v>
      </c>
      <c r="D625" t="s">
        <v>16</v>
      </c>
      <c r="E625">
        <v>46089</v>
      </c>
      <c r="F625">
        <v>45972</v>
      </c>
      <c r="G625" t="s">
        <v>1701</v>
      </c>
      <c r="H625" t="s">
        <v>28</v>
      </c>
      <c r="I625">
        <v>316.64</v>
      </c>
      <c r="J625" t="s">
        <v>20</v>
      </c>
    </row>
    <row r="626" spans="1:10" x14ac:dyDescent="0.25">
      <c r="A626">
        <v>1085</v>
      </c>
      <c r="B626" t="s">
        <v>1702</v>
      </c>
      <c r="C626">
        <v>67</v>
      </c>
      <c r="D626" t="s">
        <v>37</v>
      </c>
      <c r="E626">
        <v>45797</v>
      </c>
      <c r="F626">
        <v>45736</v>
      </c>
      <c r="G626" t="s">
        <v>1703</v>
      </c>
      <c r="H626" t="s">
        <v>18</v>
      </c>
      <c r="I626" t="s">
        <v>1704</v>
      </c>
      <c r="J626" t="s">
        <v>57</v>
      </c>
    </row>
    <row r="627" spans="1:10" x14ac:dyDescent="0.25">
      <c r="A627">
        <v>1089</v>
      </c>
      <c r="B627" t="s">
        <v>1705</v>
      </c>
      <c r="C627">
        <v>75</v>
      </c>
      <c r="D627" t="s">
        <v>11</v>
      </c>
      <c r="E627">
        <v>45991</v>
      </c>
      <c r="F627">
        <v>45813</v>
      </c>
      <c r="G627" t="s">
        <v>1706</v>
      </c>
      <c r="H627" t="s">
        <v>13</v>
      </c>
      <c r="I627">
        <v>414.58</v>
      </c>
      <c r="J627" t="s">
        <v>35</v>
      </c>
    </row>
    <row r="628" spans="1:10" x14ac:dyDescent="0.25">
      <c r="A628">
        <v>1064</v>
      </c>
      <c r="B628" t="s">
        <v>1707</v>
      </c>
      <c r="C628">
        <v>54</v>
      </c>
      <c r="D628">
        <v>1</v>
      </c>
      <c r="E628">
        <v>45849</v>
      </c>
      <c r="F628">
        <v>45468</v>
      </c>
      <c r="G628" t="s">
        <v>1708</v>
      </c>
      <c r="H628" t="s">
        <v>13</v>
      </c>
      <c r="I628" t="s">
        <v>1709</v>
      </c>
      <c r="J628" t="s">
        <v>20</v>
      </c>
    </row>
    <row r="629" spans="1:10" x14ac:dyDescent="0.25">
      <c r="A629">
        <v>1077</v>
      </c>
      <c r="B629" t="s">
        <v>1710</v>
      </c>
      <c r="C629">
        <v>57</v>
      </c>
      <c r="D629" t="s">
        <v>16</v>
      </c>
      <c r="E629">
        <v>45995</v>
      </c>
      <c r="F629">
        <v>45577</v>
      </c>
      <c r="G629" t="s">
        <v>1711</v>
      </c>
      <c r="H629" t="s">
        <v>24</v>
      </c>
      <c r="I629" t="s">
        <v>1712</v>
      </c>
      <c r="J629" t="s">
        <v>57</v>
      </c>
    </row>
    <row r="630" spans="1:10" x14ac:dyDescent="0.25">
      <c r="A630">
        <v>1092</v>
      </c>
      <c r="B630" t="s">
        <v>1713</v>
      </c>
      <c r="C630">
        <v>89</v>
      </c>
      <c r="D630" t="s">
        <v>16</v>
      </c>
      <c r="E630">
        <v>45840</v>
      </c>
      <c r="F630">
        <v>45755</v>
      </c>
      <c r="G630" t="s">
        <v>1714</v>
      </c>
      <c r="H630" t="s">
        <v>28</v>
      </c>
      <c r="I630">
        <v>186.43</v>
      </c>
      <c r="J630" t="s">
        <v>30</v>
      </c>
    </row>
    <row r="631" spans="1:10" x14ac:dyDescent="0.25">
      <c r="A631">
        <v>1084</v>
      </c>
      <c r="B631" t="s">
        <v>1715</v>
      </c>
      <c r="C631">
        <v>42</v>
      </c>
      <c r="D631" t="s">
        <v>37</v>
      </c>
      <c r="E631">
        <v>45796</v>
      </c>
      <c r="F631">
        <v>45603</v>
      </c>
      <c r="G631" t="s">
        <v>1716</v>
      </c>
      <c r="H631" t="s">
        <v>28</v>
      </c>
      <c r="I631" t="s">
        <v>1717</v>
      </c>
      <c r="J631">
        <v>0</v>
      </c>
    </row>
    <row r="632" spans="1:10" x14ac:dyDescent="0.25">
      <c r="A632">
        <v>1044</v>
      </c>
      <c r="B632" t="s">
        <v>1718</v>
      </c>
      <c r="C632">
        <v>79</v>
      </c>
      <c r="D632">
        <v>0</v>
      </c>
      <c r="E632">
        <v>46014</v>
      </c>
      <c r="F632">
        <v>45707</v>
      </c>
      <c r="G632" t="s">
        <v>1719</v>
      </c>
      <c r="H632" t="s">
        <v>28</v>
      </c>
      <c r="I632" t="s">
        <v>1720</v>
      </c>
      <c r="J632">
        <v>1</v>
      </c>
    </row>
    <row r="633" spans="1:10" x14ac:dyDescent="0.25">
      <c r="A633">
        <v>1080</v>
      </c>
      <c r="B633" t="s">
        <v>1721</v>
      </c>
      <c r="C633">
        <v>80</v>
      </c>
      <c r="D633" t="s">
        <v>22</v>
      </c>
      <c r="E633">
        <v>46026</v>
      </c>
      <c r="F633">
        <v>45948</v>
      </c>
      <c r="G633" t="s">
        <v>1722</v>
      </c>
      <c r="H633" t="s">
        <v>28</v>
      </c>
      <c r="I633">
        <v>498.84</v>
      </c>
      <c r="J633" t="s">
        <v>57</v>
      </c>
    </row>
    <row r="634" spans="1:10" x14ac:dyDescent="0.25">
      <c r="A634">
        <v>1097</v>
      </c>
      <c r="B634" t="s">
        <v>1723</v>
      </c>
      <c r="C634">
        <v>86</v>
      </c>
      <c r="E634">
        <v>45778</v>
      </c>
      <c r="F634">
        <v>45523</v>
      </c>
      <c r="G634" t="s">
        <v>1724</v>
      </c>
      <c r="H634" t="s">
        <v>13</v>
      </c>
      <c r="I634" t="s">
        <v>1725</v>
      </c>
      <c r="J634" t="s">
        <v>35</v>
      </c>
    </row>
    <row r="635" spans="1:10" x14ac:dyDescent="0.25">
      <c r="A635">
        <v>1035</v>
      </c>
      <c r="B635" t="s">
        <v>1726</v>
      </c>
      <c r="C635">
        <v>75</v>
      </c>
      <c r="D635" t="s">
        <v>49</v>
      </c>
      <c r="E635">
        <v>45982</v>
      </c>
      <c r="F635">
        <v>45659</v>
      </c>
      <c r="G635" t="s">
        <v>1727</v>
      </c>
      <c r="H635" t="s">
        <v>28</v>
      </c>
      <c r="I635" t="s">
        <v>1728</v>
      </c>
      <c r="J635" t="s">
        <v>35</v>
      </c>
    </row>
    <row r="636" spans="1:10" x14ac:dyDescent="0.25">
      <c r="A636">
        <v>1069</v>
      </c>
      <c r="B636" t="s">
        <v>1729</v>
      </c>
      <c r="C636">
        <v>23</v>
      </c>
      <c r="D636">
        <v>0</v>
      </c>
      <c r="E636">
        <v>45944</v>
      </c>
      <c r="F636">
        <v>45696</v>
      </c>
      <c r="G636" t="s">
        <v>1730</v>
      </c>
      <c r="H636" t="s">
        <v>24</v>
      </c>
      <c r="I636" t="s">
        <v>1731</v>
      </c>
      <c r="J636">
        <v>1</v>
      </c>
    </row>
    <row r="637" spans="1:10" x14ac:dyDescent="0.25">
      <c r="A637">
        <v>1016</v>
      </c>
      <c r="B637" t="s">
        <v>1732</v>
      </c>
      <c r="C637">
        <v>46</v>
      </c>
      <c r="D637" t="s">
        <v>22</v>
      </c>
      <c r="E637">
        <v>45826</v>
      </c>
      <c r="F637">
        <v>45584</v>
      </c>
      <c r="G637" t="s">
        <v>1733</v>
      </c>
      <c r="H637" t="s">
        <v>18</v>
      </c>
      <c r="I637" t="s">
        <v>1734</v>
      </c>
      <c r="J637">
        <v>1</v>
      </c>
    </row>
    <row r="638" spans="1:10" x14ac:dyDescent="0.25">
      <c r="A638">
        <v>1098</v>
      </c>
      <c r="B638" t="s">
        <v>1735</v>
      </c>
      <c r="C638">
        <v>29</v>
      </c>
      <c r="D638" t="s">
        <v>16</v>
      </c>
      <c r="E638">
        <v>45970</v>
      </c>
      <c r="F638">
        <v>45854</v>
      </c>
      <c r="G638" t="s">
        <v>1736</v>
      </c>
      <c r="H638" t="s">
        <v>13</v>
      </c>
      <c r="I638" t="s">
        <v>1737</v>
      </c>
      <c r="J638">
        <v>0</v>
      </c>
    </row>
    <row r="639" spans="1:10" x14ac:dyDescent="0.25">
      <c r="A639">
        <v>1012</v>
      </c>
      <c r="B639" t="s">
        <v>1738</v>
      </c>
      <c r="C639">
        <v>38</v>
      </c>
      <c r="D639" t="s">
        <v>22</v>
      </c>
      <c r="E639">
        <v>46054</v>
      </c>
      <c r="F639">
        <v>45398</v>
      </c>
      <c r="G639" t="s">
        <v>1739</v>
      </c>
      <c r="H639" t="s">
        <v>18</v>
      </c>
      <c r="I639">
        <v>427.54</v>
      </c>
      <c r="J639" t="s">
        <v>57</v>
      </c>
    </row>
    <row r="640" spans="1:10" x14ac:dyDescent="0.25">
      <c r="A640">
        <v>1100</v>
      </c>
      <c r="B640" t="s">
        <v>1740</v>
      </c>
      <c r="C640">
        <v>60</v>
      </c>
      <c r="D640" t="s">
        <v>11</v>
      </c>
      <c r="E640">
        <v>45907</v>
      </c>
      <c r="F640">
        <v>45395</v>
      </c>
      <c r="G640" t="s">
        <v>1741</v>
      </c>
      <c r="H640" t="s">
        <v>18</v>
      </c>
      <c r="I640" t="s">
        <v>1742</v>
      </c>
      <c r="J640" t="s">
        <v>35</v>
      </c>
    </row>
    <row r="641" spans="1:10" x14ac:dyDescent="0.25">
      <c r="A641">
        <v>1021</v>
      </c>
      <c r="B641" t="s">
        <v>1743</v>
      </c>
      <c r="C641">
        <v>37</v>
      </c>
      <c r="D641">
        <v>0</v>
      </c>
      <c r="E641">
        <v>45918</v>
      </c>
      <c r="F641">
        <v>45613</v>
      </c>
      <c r="G641" t="s">
        <v>1744</v>
      </c>
      <c r="H641" t="s">
        <v>13</v>
      </c>
      <c r="I641" t="s">
        <v>1745</v>
      </c>
      <c r="J641" t="s">
        <v>30</v>
      </c>
    </row>
    <row r="642" spans="1:10" x14ac:dyDescent="0.25">
      <c r="A642">
        <v>1078</v>
      </c>
      <c r="B642" t="s">
        <v>1746</v>
      </c>
      <c r="C642">
        <v>82</v>
      </c>
      <c r="D642">
        <v>1</v>
      </c>
      <c r="E642">
        <v>46046</v>
      </c>
      <c r="F642">
        <v>45568</v>
      </c>
      <c r="G642" t="s">
        <v>1747</v>
      </c>
      <c r="H642" t="s">
        <v>18</v>
      </c>
      <c r="I642" t="s">
        <v>1748</v>
      </c>
      <c r="J642">
        <v>0</v>
      </c>
    </row>
    <row r="643" spans="1:10" x14ac:dyDescent="0.25">
      <c r="A643">
        <v>1094</v>
      </c>
      <c r="B643" t="s">
        <v>1749</v>
      </c>
      <c r="C643">
        <v>60</v>
      </c>
      <c r="D643">
        <v>1</v>
      </c>
      <c r="E643">
        <v>45888</v>
      </c>
      <c r="F643">
        <v>45680</v>
      </c>
      <c r="G643" t="s">
        <v>1750</v>
      </c>
      <c r="H643" t="s">
        <v>24</v>
      </c>
      <c r="I643">
        <v>421.74</v>
      </c>
      <c r="J643" t="s">
        <v>20</v>
      </c>
    </row>
    <row r="644" spans="1:10" x14ac:dyDescent="0.25">
      <c r="A644">
        <v>1022</v>
      </c>
      <c r="B644" t="s">
        <v>1751</v>
      </c>
      <c r="C644">
        <v>83</v>
      </c>
      <c r="D644" t="s">
        <v>68</v>
      </c>
      <c r="E644">
        <v>45915</v>
      </c>
      <c r="F644">
        <v>45649</v>
      </c>
      <c r="G644" t="s">
        <v>1752</v>
      </c>
      <c r="H644" t="s">
        <v>18</v>
      </c>
      <c r="I644" t="s">
        <v>1753</v>
      </c>
      <c r="J644" t="s">
        <v>30</v>
      </c>
    </row>
    <row r="645" spans="1:10" x14ac:dyDescent="0.25">
      <c r="A645">
        <v>1056</v>
      </c>
      <c r="B645" t="s">
        <v>1754</v>
      </c>
      <c r="C645">
        <v>82</v>
      </c>
      <c r="D645" t="s">
        <v>22</v>
      </c>
      <c r="E645">
        <v>46026</v>
      </c>
      <c r="F645">
        <v>45763</v>
      </c>
      <c r="G645" t="s">
        <v>1755</v>
      </c>
      <c r="H645" t="s">
        <v>24</v>
      </c>
      <c r="I645" t="s">
        <v>1756</v>
      </c>
      <c r="J645">
        <v>0</v>
      </c>
    </row>
    <row r="646" spans="1:10" x14ac:dyDescent="0.25">
      <c r="A646">
        <v>1066</v>
      </c>
      <c r="B646" t="s">
        <v>1757</v>
      </c>
      <c r="C646">
        <v>76</v>
      </c>
      <c r="D646" t="s">
        <v>49</v>
      </c>
      <c r="E646">
        <v>45961</v>
      </c>
      <c r="F646">
        <v>45470</v>
      </c>
      <c r="G646" t="s">
        <v>1758</v>
      </c>
      <c r="H646" t="s">
        <v>28</v>
      </c>
      <c r="I646" t="s">
        <v>1759</v>
      </c>
      <c r="J646">
        <v>1</v>
      </c>
    </row>
    <row r="647" spans="1:10" x14ac:dyDescent="0.25">
      <c r="A647">
        <v>1088</v>
      </c>
      <c r="B647" t="s">
        <v>1760</v>
      </c>
      <c r="C647">
        <v>79</v>
      </c>
      <c r="D647">
        <v>0</v>
      </c>
      <c r="E647">
        <v>45982</v>
      </c>
      <c r="F647">
        <v>45911</v>
      </c>
      <c r="G647" t="s">
        <v>1761</v>
      </c>
      <c r="H647" t="s">
        <v>18</v>
      </c>
      <c r="I647">
        <v>337.15</v>
      </c>
      <c r="J647" t="s">
        <v>30</v>
      </c>
    </row>
    <row r="648" spans="1:10" x14ac:dyDescent="0.25">
      <c r="A648">
        <v>1001</v>
      </c>
      <c r="B648" t="s">
        <v>1762</v>
      </c>
      <c r="C648">
        <v>27</v>
      </c>
      <c r="D648" t="s">
        <v>11</v>
      </c>
      <c r="E648">
        <v>45887</v>
      </c>
      <c r="F648">
        <v>45800</v>
      </c>
      <c r="G648" t="s">
        <v>1763</v>
      </c>
      <c r="H648" t="s">
        <v>24</v>
      </c>
      <c r="I648" t="s">
        <v>1764</v>
      </c>
      <c r="J648">
        <v>0</v>
      </c>
    </row>
    <row r="649" spans="1:10" x14ac:dyDescent="0.25">
      <c r="A649">
        <v>1076</v>
      </c>
      <c r="B649" t="s">
        <v>1765</v>
      </c>
      <c r="C649">
        <v>19</v>
      </c>
      <c r="D649">
        <v>0</v>
      </c>
      <c r="E649">
        <v>46075</v>
      </c>
      <c r="F649">
        <v>45820</v>
      </c>
      <c r="G649" t="s">
        <v>1766</v>
      </c>
      <c r="H649" t="s">
        <v>18</v>
      </c>
      <c r="I649">
        <v>445.97</v>
      </c>
      <c r="J649" t="s">
        <v>20</v>
      </c>
    </row>
    <row r="650" spans="1:10" x14ac:dyDescent="0.25">
      <c r="A650">
        <v>1019</v>
      </c>
      <c r="B650" t="s">
        <v>1767</v>
      </c>
      <c r="C650">
        <v>41</v>
      </c>
      <c r="D650" t="s">
        <v>49</v>
      </c>
      <c r="E650">
        <v>45961</v>
      </c>
      <c r="F650">
        <v>45483</v>
      </c>
      <c r="G650" t="s">
        <v>1768</v>
      </c>
      <c r="H650" t="s">
        <v>24</v>
      </c>
      <c r="I650" t="s">
        <v>1769</v>
      </c>
      <c r="J650">
        <v>0</v>
      </c>
    </row>
    <row r="651" spans="1:10" x14ac:dyDescent="0.25">
      <c r="A651">
        <v>1005</v>
      </c>
      <c r="B651" t="s">
        <v>1770</v>
      </c>
      <c r="C651">
        <v>55</v>
      </c>
      <c r="D651" t="s">
        <v>16</v>
      </c>
      <c r="E651">
        <v>45876</v>
      </c>
      <c r="F651">
        <v>45388</v>
      </c>
      <c r="G651" t="s">
        <v>1771</v>
      </c>
      <c r="H651" t="s">
        <v>13</v>
      </c>
      <c r="I651">
        <v>125.33</v>
      </c>
      <c r="J651">
        <v>0</v>
      </c>
    </row>
    <row r="652" spans="1:10" x14ac:dyDescent="0.25">
      <c r="A652">
        <v>1030</v>
      </c>
      <c r="B652" t="s">
        <v>1772</v>
      </c>
      <c r="C652">
        <v>59</v>
      </c>
      <c r="D652" t="s">
        <v>68</v>
      </c>
      <c r="E652">
        <v>45991</v>
      </c>
      <c r="F652">
        <v>45870</v>
      </c>
      <c r="G652" t="s">
        <v>1773</v>
      </c>
      <c r="H652" t="s">
        <v>18</v>
      </c>
      <c r="I652" t="s">
        <v>1774</v>
      </c>
      <c r="J652">
        <v>1</v>
      </c>
    </row>
    <row r="653" spans="1:10" x14ac:dyDescent="0.25">
      <c r="A653">
        <v>1088</v>
      </c>
      <c r="B653" t="s">
        <v>1775</v>
      </c>
      <c r="C653">
        <v>55</v>
      </c>
      <c r="D653" t="s">
        <v>16</v>
      </c>
      <c r="E653">
        <v>45983</v>
      </c>
      <c r="F653">
        <v>45544</v>
      </c>
      <c r="G653" t="s">
        <v>1776</v>
      </c>
      <c r="H653" t="s">
        <v>18</v>
      </c>
      <c r="I653" t="s">
        <v>1777</v>
      </c>
      <c r="J653">
        <v>0</v>
      </c>
    </row>
    <row r="654" spans="1:10" x14ac:dyDescent="0.25">
      <c r="A654">
        <v>1018</v>
      </c>
      <c r="B654" t="s">
        <v>1778</v>
      </c>
      <c r="C654">
        <v>68</v>
      </c>
      <c r="D654" t="s">
        <v>68</v>
      </c>
      <c r="E654">
        <v>45769</v>
      </c>
      <c r="F654">
        <v>45750</v>
      </c>
      <c r="G654" t="s">
        <v>1779</v>
      </c>
      <c r="H654" t="s">
        <v>24</v>
      </c>
      <c r="I654" t="s">
        <v>1780</v>
      </c>
      <c r="J654">
        <v>0</v>
      </c>
    </row>
    <row r="655" spans="1:10" x14ac:dyDescent="0.25">
      <c r="A655">
        <v>1092</v>
      </c>
      <c r="B655" t="s">
        <v>1781</v>
      </c>
      <c r="C655">
        <v>68</v>
      </c>
      <c r="D655" t="s">
        <v>11</v>
      </c>
      <c r="E655">
        <v>45831</v>
      </c>
      <c r="F655">
        <v>45589</v>
      </c>
      <c r="G655" t="s">
        <v>1782</v>
      </c>
      <c r="H655" t="s">
        <v>13</v>
      </c>
      <c r="I655">
        <v>169.01</v>
      </c>
      <c r="J655" t="s">
        <v>57</v>
      </c>
    </row>
    <row r="656" spans="1:10" x14ac:dyDescent="0.25">
      <c r="A656">
        <v>1030</v>
      </c>
      <c r="B656" t="s">
        <v>1783</v>
      </c>
      <c r="C656">
        <v>39</v>
      </c>
      <c r="D656" t="s">
        <v>49</v>
      </c>
      <c r="E656">
        <v>45979</v>
      </c>
      <c r="F656">
        <v>45965</v>
      </c>
      <c r="G656" t="s">
        <v>1784</v>
      </c>
      <c r="H656" t="s">
        <v>24</v>
      </c>
      <c r="I656" t="s">
        <v>1785</v>
      </c>
      <c r="J656">
        <v>0</v>
      </c>
    </row>
    <row r="657" spans="1:10" x14ac:dyDescent="0.25">
      <c r="A657">
        <v>1089</v>
      </c>
      <c r="B657" t="s">
        <v>1786</v>
      </c>
      <c r="C657">
        <v>63</v>
      </c>
      <c r="D657" t="s">
        <v>22</v>
      </c>
      <c r="E657">
        <v>45970</v>
      </c>
      <c r="F657">
        <v>45634</v>
      </c>
      <c r="G657" t="s">
        <v>1787</v>
      </c>
      <c r="H657" t="s">
        <v>24</v>
      </c>
      <c r="I657" t="s">
        <v>1788</v>
      </c>
      <c r="J657">
        <v>1</v>
      </c>
    </row>
    <row r="658" spans="1:10" x14ac:dyDescent="0.25">
      <c r="A658">
        <v>1043</v>
      </c>
      <c r="B658" t="s">
        <v>1789</v>
      </c>
      <c r="C658">
        <v>82</v>
      </c>
      <c r="D658">
        <v>0</v>
      </c>
      <c r="E658">
        <v>45800</v>
      </c>
      <c r="F658">
        <v>45583</v>
      </c>
      <c r="G658" t="s">
        <v>1790</v>
      </c>
      <c r="H658" t="s">
        <v>13</v>
      </c>
      <c r="I658">
        <v>215.76</v>
      </c>
      <c r="J658" t="s">
        <v>57</v>
      </c>
    </row>
    <row r="659" spans="1:10" x14ac:dyDescent="0.25">
      <c r="A659">
        <v>1021</v>
      </c>
      <c r="B659" t="s">
        <v>1791</v>
      </c>
      <c r="C659">
        <v>25</v>
      </c>
      <c r="D659" t="s">
        <v>11</v>
      </c>
      <c r="E659">
        <v>45931</v>
      </c>
      <c r="F659">
        <v>45536</v>
      </c>
      <c r="G659" t="s">
        <v>1792</v>
      </c>
      <c r="H659" t="s">
        <v>13</v>
      </c>
      <c r="I659">
        <v>184.11</v>
      </c>
      <c r="J659" t="s">
        <v>20</v>
      </c>
    </row>
    <row r="660" spans="1:10" x14ac:dyDescent="0.25">
      <c r="A660">
        <v>1086</v>
      </c>
      <c r="B660" t="s">
        <v>1793</v>
      </c>
      <c r="C660">
        <v>80</v>
      </c>
      <c r="D660">
        <v>0</v>
      </c>
      <c r="E660">
        <v>45985</v>
      </c>
      <c r="F660">
        <v>45655</v>
      </c>
      <c r="G660" t="s">
        <v>1794</v>
      </c>
      <c r="H660" t="s">
        <v>13</v>
      </c>
      <c r="I660" t="s">
        <v>1795</v>
      </c>
      <c r="J660">
        <v>1</v>
      </c>
    </row>
    <row r="661" spans="1:10" x14ac:dyDescent="0.25">
      <c r="A661">
        <v>1016</v>
      </c>
      <c r="B661" t="s">
        <v>1796</v>
      </c>
      <c r="C661">
        <v>53</v>
      </c>
      <c r="D661" t="s">
        <v>11</v>
      </c>
      <c r="E661">
        <v>45806</v>
      </c>
      <c r="F661">
        <v>45710</v>
      </c>
      <c r="G661" t="s">
        <v>1797</v>
      </c>
      <c r="H661" t="s">
        <v>18</v>
      </c>
      <c r="I661" t="s">
        <v>1798</v>
      </c>
      <c r="J661" t="s">
        <v>35</v>
      </c>
    </row>
    <row r="662" spans="1:10" x14ac:dyDescent="0.25">
      <c r="A662">
        <v>1050</v>
      </c>
      <c r="B662" t="s">
        <v>1799</v>
      </c>
      <c r="C662">
        <v>83</v>
      </c>
      <c r="D662" t="s">
        <v>22</v>
      </c>
      <c r="E662">
        <v>45911</v>
      </c>
      <c r="F662">
        <v>45538</v>
      </c>
      <c r="G662" t="s">
        <v>1800</v>
      </c>
      <c r="H662" t="s">
        <v>24</v>
      </c>
      <c r="I662" t="s">
        <v>1801</v>
      </c>
      <c r="J662" t="s">
        <v>57</v>
      </c>
    </row>
    <row r="663" spans="1:10" x14ac:dyDescent="0.25">
      <c r="A663">
        <v>1079</v>
      </c>
      <c r="B663" t="s">
        <v>1802</v>
      </c>
      <c r="C663">
        <v>85</v>
      </c>
      <c r="D663" t="s">
        <v>37</v>
      </c>
      <c r="E663">
        <v>46101</v>
      </c>
      <c r="F663">
        <v>45938</v>
      </c>
      <c r="G663" t="s">
        <v>1803</v>
      </c>
      <c r="H663" t="s">
        <v>18</v>
      </c>
      <c r="I663" t="s">
        <v>1804</v>
      </c>
      <c r="J663" t="s">
        <v>57</v>
      </c>
    </row>
    <row r="664" spans="1:10" x14ac:dyDescent="0.25">
      <c r="A664">
        <v>1027</v>
      </c>
      <c r="B664" t="s">
        <v>1805</v>
      </c>
      <c r="C664">
        <v>26</v>
      </c>
      <c r="D664">
        <v>1</v>
      </c>
      <c r="E664">
        <v>46104</v>
      </c>
      <c r="F664">
        <v>45668</v>
      </c>
      <c r="G664" t="s">
        <v>1806</v>
      </c>
      <c r="H664" t="s">
        <v>18</v>
      </c>
      <c r="I664" t="s">
        <v>1807</v>
      </c>
      <c r="J664" t="s">
        <v>57</v>
      </c>
    </row>
    <row r="665" spans="1:10" x14ac:dyDescent="0.25">
      <c r="A665">
        <v>1070</v>
      </c>
      <c r="B665" t="s">
        <v>1808</v>
      </c>
      <c r="C665">
        <v>30</v>
      </c>
      <c r="D665" t="s">
        <v>16</v>
      </c>
      <c r="E665">
        <v>45992</v>
      </c>
      <c r="F665">
        <v>45489</v>
      </c>
      <c r="G665" t="s">
        <v>1809</v>
      </c>
      <c r="H665" t="s">
        <v>18</v>
      </c>
      <c r="I665" t="s">
        <v>1810</v>
      </c>
      <c r="J665" t="s">
        <v>30</v>
      </c>
    </row>
    <row r="666" spans="1:10" x14ac:dyDescent="0.25">
      <c r="A666">
        <v>1013</v>
      </c>
      <c r="B666" t="s">
        <v>1811</v>
      </c>
      <c r="C666">
        <v>21</v>
      </c>
      <c r="D666" t="s">
        <v>37</v>
      </c>
      <c r="E666">
        <v>46077</v>
      </c>
      <c r="F666">
        <v>45812</v>
      </c>
      <c r="G666" t="s">
        <v>1812</v>
      </c>
      <c r="H666" t="s">
        <v>24</v>
      </c>
      <c r="J666" t="s">
        <v>35</v>
      </c>
    </row>
    <row r="667" spans="1:10" x14ac:dyDescent="0.25">
      <c r="A667">
        <v>1027</v>
      </c>
      <c r="B667" t="s">
        <v>1813</v>
      </c>
      <c r="C667">
        <v>27</v>
      </c>
      <c r="D667" t="s">
        <v>11</v>
      </c>
      <c r="E667">
        <v>45842</v>
      </c>
      <c r="F667">
        <v>45733</v>
      </c>
      <c r="G667" t="s">
        <v>1814</v>
      </c>
      <c r="H667" t="s">
        <v>18</v>
      </c>
      <c r="I667">
        <v>421.57</v>
      </c>
      <c r="J667">
        <v>1</v>
      </c>
    </row>
    <row r="668" spans="1:10" x14ac:dyDescent="0.25">
      <c r="A668">
        <v>1087</v>
      </c>
      <c r="B668" t="s">
        <v>1815</v>
      </c>
      <c r="C668">
        <v>28</v>
      </c>
      <c r="D668">
        <v>0</v>
      </c>
      <c r="E668">
        <v>46104</v>
      </c>
      <c r="F668">
        <v>45383</v>
      </c>
      <c r="G668" t="s">
        <v>1816</v>
      </c>
      <c r="H668" t="s">
        <v>13</v>
      </c>
      <c r="I668" t="s">
        <v>1817</v>
      </c>
      <c r="J668">
        <v>1</v>
      </c>
    </row>
    <row r="669" spans="1:10" x14ac:dyDescent="0.25">
      <c r="A669">
        <v>1081</v>
      </c>
      <c r="B669" t="s">
        <v>1818</v>
      </c>
      <c r="C669">
        <v>32</v>
      </c>
      <c r="D669" t="s">
        <v>16</v>
      </c>
      <c r="E669">
        <v>45844</v>
      </c>
      <c r="F669">
        <v>45757</v>
      </c>
      <c r="G669" t="s">
        <v>1819</v>
      </c>
      <c r="H669" t="s">
        <v>24</v>
      </c>
      <c r="I669" t="s">
        <v>1820</v>
      </c>
      <c r="J669" t="s">
        <v>20</v>
      </c>
    </row>
    <row r="670" spans="1:10" x14ac:dyDescent="0.25">
      <c r="A670">
        <v>1053</v>
      </c>
      <c r="B670" t="s">
        <v>1821</v>
      </c>
      <c r="C670">
        <v>87</v>
      </c>
      <c r="D670" t="s">
        <v>49</v>
      </c>
      <c r="E670">
        <v>46060</v>
      </c>
      <c r="F670">
        <v>45484</v>
      </c>
      <c r="G670" t="s">
        <v>1822</v>
      </c>
      <c r="H670" t="s">
        <v>18</v>
      </c>
      <c r="I670">
        <v>249.74</v>
      </c>
      <c r="J670" t="s">
        <v>20</v>
      </c>
    </row>
    <row r="671" spans="1:10" x14ac:dyDescent="0.25">
      <c r="A671">
        <v>1051</v>
      </c>
      <c r="B671" t="s">
        <v>1823</v>
      </c>
      <c r="C671">
        <v>72</v>
      </c>
      <c r="D671" t="s">
        <v>37</v>
      </c>
      <c r="E671">
        <v>46086</v>
      </c>
      <c r="F671">
        <v>45742</v>
      </c>
      <c r="G671" t="s">
        <v>1824</v>
      </c>
      <c r="H671" t="s">
        <v>28</v>
      </c>
      <c r="I671">
        <v>126.56</v>
      </c>
      <c r="J671" t="s">
        <v>35</v>
      </c>
    </row>
    <row r="672" spans="1:10" x14ac:dyDescent="0.25">
      <c r="A672">
        <v>1098</v>
      </c>
      <c r="B672" t="s">
        <v>1825</v>
      </c>
      <c r="C672">
        <v>59</v>
      </c>
      <c r="D672">
        <v>1</v>
      </c>
      <c r="E672">
        <v>45940</v>
      </c>
      <c r="F672">
        <v>45522</v>
      </c>
      <c r="G672" t="s">
        <v>1826</v>
      </c>
      <c r="H672" t="s">
        <v>28</v>
      </c>
      <c r="I672">
        <v>143.32</v>
      </c>
      <c r="J672" t="s">
        <v>57</v>
      </c>
    </row>
    <row r="673" spans="1:10" x14ac:dyDescent="0.25">
      <c r="A673">
        <v>1009</v>
      </c>
      <c r="B673" t="s">
        <v>1827</v>
      </c>
      <c r="C673">
        <v>64</v>
      </c>
      <c r="D673" t="s">
        <v>22</v>
      </c>
      <c r="E673">
        <v>45869</v>
      </c>
      <c r="F673">
        <v>45527</v>
      </c>
      <c r="G673" t="s">
        <v>1828</v>
      </c>
      <c r="H673" t="s">
        <v>24</v>
      </c>
      <c r="I673" t="s">
        <v>1829</v>
      </c>
      <c r="J673" t="s">
        <v>20</v>
      </c>
    </row>
    <row r="674" spans="1:10" x14ac:dyDescent="0.25">
      <c r="A674">
        <v>1021</v>
      </c>
      <c r="B674" t="s">
        <v>1830</v>
      </c>
      <c r="C674">
        <v>28</v>
      </c>
      <c r="D674" t="s">
        <v>37</v>
      </c>
      <c r="E674">
        <v>45884</v>
      </c>
      <c r="F674">
        <v>45613</v>
      </c>
      <c r="G674" t="s">
        <v>1831</v>
      </c>
      <c r="H674" t="s">
        <v>13</v>
      </c>
      <c r="I674" t="s">
        <v>1832</v>
      </c>
      <c r="J674" t="s">
        <v>35</v>
      </c>
    </row>
    <row r="675" spans="1:10" x14ac:dyDescent="0.25">
      <c r="A675">
        <v>1046</v>
      </c>
      <c r="B675" t="s">
        <v>1833</v>
      </c>
      <c r="C675">
        <v>68</v>
      </c>
      <c r="D675" t="s">
        <v>49</v>
      </c>
      <c r="E675">
        <v>46097</v>
      </c>
      <c r="F675">
        <v>45418</v>
      </c>
      <c r="G675" t="s">
        <v>1834</v>
      </c>
      <c r="H675" t="s">
        <v>18</v>
      </c>
      <c r="I675" t="s">
        <v>1835</v>
      </c>
      <c r="J675" t="s">
        <v>20</v>
      </c>
    </row>
    <row r="676" spans="1:10" x14ac:dyDescent="0.25">
      <c r="A676">
        <v>1044</v>
      </c>
      <c r="B676" t="s">
        <v>1836</v>
      </c>
      <c r="C676">
        <v>67</v>
      </c>
      <c r="D676" t="s">
        <v>49</v>
      </c>
      <c r="E676">
        <v>45759</v>
      </c>
      <c r="F676">
        <v>45486</v>
      </c>
      <c r="G676" t="s">
        <v>1837</v>
      </c>
      <c r="H676" t="s">
        <v>24</v>
      </c>
      <c r="I676" t="s">
        <v>1838</v>
      </c>
      <c r="J676" t="s">
        <v>57</v>
      </c>
    </row>
    <row r="677" spans="1:10" x14ac:dyDescent="0.25">
      <c r="A677">
        <v>1058</v>
      </c>
      <c r="B677" t="s">
        <v>1839</v>
      </c>
      <c r="C677">
        <v>37</v>
      </c>
      <c r="D677">
        <v>1</v>
      </c>
      <c r="E677">
        <v>46057</v>
      </c>
      <c r="F677">
        <v>45971</v>
      </c>
      <c r="G677" t="s">
        <v>1840</v>
      </c>
      <c r="H677" t="s">
        <v>18</v>
      </c>
      <c r="I677" t="s">
        <v>1841</v>
      </c>
      <c r="J677" t="s">
        <v>20</v>
      </c>
    </row>
    <row r="678" spans="1:10" x14ac:dyDescent="0.25">
      <c r="A678">
        <v>1004</v>
      </c>
      <c r="B678" t="s">
        <v>1842</v>
      </c>
      <c r="C678">
        <v>53</v>
      </c>
      <c r="E678">
        <v>45878</v>
      </c>
      <c r="F678">
        <v>45479</v>
      </c>
      <c r="G678" t="s">
        <v>1843</v>
      </c>
      <c r="H678" t="s">
        <v>24</v>
      </c>
      <c r="I678" t="s">
        <v>1844</v>
      </c>
      <c r="J678" t="s">
        <v>35</v>
      </c>
    </row>
    <row r="679" spans="1:10" x14ac:dyDescent="0.25">
      <c r="A679">
        <v>1088</v>
      </c>
      <c r="B679" t="s">
        <v>1845</v>
      </c>
      <c r="C679">
        <v>21</v>
      </c>
      <c r="D679" t="s">
        <v>22</v>
      </c>
      <c r="E679">
        <v>45973</v>
      </c>
      <c r="F679">
        <v>45769</v>
      </c>
      <c r="G679" t="s">
        <v>1846</v>
      </c>
      <c r="H679" t="s">
        <v>24</v>
      </c>
      <c r="I679" t="s">
        <v>1847</v>
      </c>
      <c r="J679">
        <v>0</v>
      </c>
    </row>
    <row r="680" spans="1:10" x14ac:dyDescent="0.25">
      <c r="A680">
        <v>1035</v>
      </c>
      <c r="B680" t="s">
        <v>1848</v>
      </c>
      <c r="C680">
        <v>53</v>
      </c>
      <c r="D680" t="s">
        <v>22</v>
      </c>
      <c r="E680">
        <v>46048</v>
      </c>
      <c r="F680">
        <v>45562</v>
      </c>
      <c r="G680" t="s">
        <v>1849</v>
      </c>
      <c r="H680" t="s">
        <v>24</v>
      </c>
      <c r="I680" t="s">
        <v>1850</v>
      </c>
      <c r="J680">
        <v>1</v>
      </c>
    </row>
    <row r="681" spans="1:10" x14ac:dyDescent="0.25">
      <c r="A681">
        <v>1025</v>
      </c>
      <c r="B681" t="s">
        <v>1851</v>
      </c>
      <c r="C681">
        <v>69</v>
      </c>
      <c r="D681" t="s">
        <v>68</v>
      </c>
      <c r="E681">
        <v>45753</v>
      </c>
      <c r="F681">
        <v>45501</v>
      </c>
      <c r="G681" t="s">
        <v>1852</v>
      </c>
      <c r="H681" t="s">
        <v>18</v>
      </c>
      <c r="I681" t="s">
        <v>1853</v>
      </c>
      <c r="J681">
        <v>0</v>
      </c>
    </row>
    <row r="682" spans="1:10" x14ac:dyDescent="0.25">
      <c r="A682">
        <v>1068</v>
      </c>
      <c r="B682" t="s">
        <v>1854</v>
      </c>
      <c r="C682">
        <v>25</v>
      </c>
      <c r="D682" t="s">
        <v>16</v>
      </c>
      <c r="E682">
        <v>46064</v>
      </c>
      <c r="F682">
        <v>45828</v>
      </c>
      <c r="G682" t="s">
        <v>1855</v>
      </c>
      <c r="H682" t="s">
        <v>24</v>
      </c>
      <c r="I682" t="s">
        <v>1856</v>
      </c>
      <c r="J682">
        <v>0</v>
      </c>
    </row>
    <row r="683" spans="1:10" x14ac:dyDescent="0.25">
      <c r="A683">
        <v>1014</v>
      </c>
      <c r="B683" t="s">
        <v>1857</v>
      </c>
      <c r="C683">
        <v>61</v>
      </c>
      <c r="E683">
        <v>45852</v>
      </c>
      <c r="F683">
        <v>45648</v>
      </c>
      <c r="G683" t="s">
        <v>1858</v>
      </c>
      <c r="H683" t="s">
        <v>13</v>
      </c>
      <c r="I683" t="s">
        <v>1859</v>
      </c>
      <c r="J683">
        <v>1</v>
      </c>
    </row>
    <row r="684" spans="1:10" x14ac:dyDescent="0.25">
      <c r="A684">
        <v>1059</v>
      </c>
      <c r="B684" t="s">
        <v>1860</v>
      </c>
      <c r="C684">
        <v>23</v>
      </c>
      <c r="D684" t="s">
        <v>68</v>
      </c>
      <c r="E684">
        <v>45910</v>
      </c>
      <c r="F684">
        <v>45405</v>
      </c>
      <c r="G684" t="s">
        <v>1861</v>
      </c>
      <c r="H684" t="s">
        <v>28</v>
      </c>
      <c r="I684" t="s">
        <v>1862</v>
      </c>
      <c r="J684" t="s">
        <v>20</v>
      </c>
    </row>
    <row r="685" spans="1:10" x14ac:dyDescent="0.25">
      <c r="A685">
        <v>1021</v>
      </c>
      <c r="B685" t="s">
        <v>1863</v>
      </c>
      <c r="C685">
        <v>61</v>
      </c>
      <c r="D685" t="s">
        <v>16</v>
      </c>
      <c r="E685">
        <v>46085</v>
      </c>
      <c r="F685">
        <v>45879</v>
      </c>
      <c r="G685" t="s">
        <v>1864</v>
      </c>
      <c r="H685" t="s">
        <v>24</v>
      </c>
      <c r="I685" t="s">
        <v>1865</v>
      </c>
      <c r="J685" t="s">
        <v>35</v>
      </c>
    </row>
    <row r="686" spans="1:10" x14ac:dyDescent="0.25">
      <c r="A686">
        <v>1029</v>
      </c>
      <c r="B686" t="s">
        <v>1866</v>
      </c>
      <c r="C686">
        <v>69</v>
      </c>
      <c r="D686" t="s">
        <v>49</v>
      </c>
      <c r="E686">
        <v>45804</v>
      </c>
      <c r="F686">
        <v>45767</v>
      </c>
      <c r="G686" t="s">
        <v>1867</v>
      </c>
      <c r="H686" t="s">
        <v>18</v>
      </c>
      <c r="I686" t="s">
        <v>1868</v>
      </c>
      <c r="J686" t="s">
        <v>57</v>
      </c>
    </row>
    <row r="687" spans="1:10" x14ac:dyDescent="0.25">
      <c r="A687">
        <v>1005</v>
      </c>
      <c r="B687" t="s">
        <v>1869</v>
      </c>
      <c r="C687">
        <v>23</v>
      </c>
      <c r="D687">
        <v>0</v>
      </c>
      <c r="E687">
        <v>46015</v>
      </c>
      <c r="F687">
        <v>45662</v>
      </c>
      <c r="G687" t="s">
        <v>1870</v>
      </c>
      <c r="H687" t="s">
        <v>18</v>
      </c>
      <c r="I687">
        <v>265.67</v>
      </c>
      <c r="J687" t="s">
        <v>57</v>
      </c>
    </row>
    <row r="688" spans="1:10" x14ac:dyDescent="0.25">
      <c r="A688">
        <v>1094</v>
      </c>
      <c r="B688" t="s">
        <v>1871</v>
      </c>
      <c r="C688">
        <v>59</v>
      </c>
      <c r="D688">
        <v>0</v>
      </c>
      <c r="E688">
        <v>45816</v>
      </c>
      <c r="F688">
        <v>45652</v>
      </c>
      <c r="G688" t="s">
        <v>1872</v>
      </c>
      <c r="H688" t="s">
        <v>18</v>
      </c>
      <c r="I688">
        <v>382.64</v>
      </c>
      <c r="J688" t="s">
        <v>20</v>
      </c>
    </row>
    <row r="689" spans="1:10" x14ac:dyDescent="0.25">
      <c r="A689">
        <v>1065</v>
      </c>
      <c r="B689" t="s">
        <v>1873</v>
      </c>
      <c r="C689">
        <v>80</v>
      </c>
      <c r="D689" t="s">
        <v>16</v>
      </c>
      <c r="E689">
        <v>45788</v>
      </c>
      <c r="F689">
        <v>45587</v>
      </c>
      <c r="G689" t="s">
        <v>1874</v>
      </c>
      <c r="H689" t="s">
        <v>13</v>
      </c>
      <c r="I689" t="s">
        <v>1875</v>
      </c>
      <c r="J689">
        <v>0</v>
      </c>
    </row>
    <row r="690" spans="1:10" x14ac:dyDescent="0.25">
      <c r="A690">
        <v>1058</v>
      </c>
      <c r="B690" t="s">
        <v>1876</v>
      </c>
      <c r="C690">
        <v>27</v>
      </c>
      <c r="D690" t="s">
        <v>68</v>
      </c>
      <c r="E690">
        <v>45863</v>
      </c>
      <c r="F690">
        <v>45532</v>
      </c>
      <c r="G690" t="s">
        <v>1877</v>
      </c>
      <c r="H690" t="s">
        <v>18</v>
      </c>
      <c r="I690" t="s">
        <v>1878</v>
      </c>
      <c r="J690" t="s">
        <v>30</v>
      </c>
    </row>
    <row r="691" spans="1:10" x14ac:dyDescent="0.25">
      <c r="A691">
        <v>1076</v>
      </c>
      <c r="B691" t="s">
        <v>1879</v>
      </c>
      <c r="C691">
        <v>39</v>
      </c>
      <c r="D691" t="s">
        <v>11</v>
      </c>
      <c r="E691">
        <v>45807</v>
      </c>
      <c r="F691">
        <v>45783</v>
      </c>
      <c r="G691" t="s">
        <v>1880</v>
      </c>
      <c r="H691" t="s">
        <v>28</v>
      </c>
      <c r="I691" t="s">
        <v>1881</v>
      </c>
      <c r="J691" t="s">
        <v>35</v>
      </c>
    </row>
    <row r="692" spans="1:10" x14ac:dyDescent="0.25">
      <c r="A692">
        <v>1073</v>
      </c>
      <c r="B692" t="s">
        <v>1882</v>
      </c>
      <c r="C692">
        <v>52</v>
      </c>
      <c r="D692" t="s">
        <v>68</v>
      </c>
      <c r="E692">
        <v>45925</v>
      </c>
      <c r="F692">
        <v>45668</v>
      </c>
      <c r="G692" t="s">
        <v>1883</v>
      </c>
      <c r="H692" t="s">
        <v>13</v>
      </c>
      <c r="I692" t="s">
        <v>1884</v>
      </c>
      <c r="J692">
        <v>0</v>
      </c>
    </row>
    <row r="693" spans="1:10" x14ac:dyDescent="0.25">
      <c r="A693">
        <v>1054</v>
      </c>
      <c r="B693" t="s">
        <v>1885</v>
      </c>
      <c r="C693">
        <v>66</v>
      </c>
      <c r="D693" t="s">
        <v>68</v>
      </c>
      <c r="E693">
        <v>45755</v>
      </c>
      <c r="F693">
        <v>45659</v>
      </c>
      <c r="G693" t="s">
        <v>1886</v>
      </c>
      <c r="H693" t="s">
        <v>18</v>
      </c>
      <c r="I693" t="s">
        <v>1887</v>
      </c>
      <c r="J693">
        <v>1</v>
      </c>
    </row>
    <row r="694" spans="1:10" x14ac:dyDescent="0.25">
      <c r="A694">
        <v>1020</v>
      </c>
      <c r="B694" t="s">
        <v>1888</v>
      </c>
      <c r="C694">
        <v>52</v>
      </c>
      <c r="D694" t="s">
        <v>49</v>
      </c>
      <c r="E694">
        <v>46069</v>
      </c>
      <c r="F694">
        <v>45730</v>
      </c>
      <c r="G694" t="s">
        <v>1889</v>
      </c>
      <c r="H694" t="s">
        <v>28</v>
      </c>
      <c r="I694" t="s">
        <v>1890</v>
      </c>
      <c r="J694">
        <v>0</v>
      </c>
    </row>
    <row r="695" spans="1:10" x14ac:dyDescent="0.25">
      <c r="A695">
        <v>1087</v>
      </c>
      <c r="B695" t="s">
        <v>1891</v>
      </c>
      <c r="C695">
        <v>78</v>
      </c>
      <c r="D695" t="s">
        <v>68</v>
      </c>
      <c r="E695">
        <v>46044</v>
      </c>
      <c r="F695">
        <v>45815</v>
      </c>
      <c r="G695" t="s">
        <v>1892</v>
      </c>
      <c r="H695" t="s">
        <v>28</v>
      </c>
      <c r="I695">
        <v>123.28</v>
      </c>
      <c r="J695" t="s">
        <v>30</v>
      </c>
    </row>
    <row r="696" spans="1:10" x14ac:dyDescent="0.25">
      <c r="A696">
        <v>1012</v>
      </c>
      <c r="B696" t="s">
        <v>1893</v>
      </c>
      <c r="C696">
        <v>45</v>
      </c>
      <c r="D696">
        <v>0</v>
      </c>
      <c r="E696">
        <v>45863</v>
      </c>
      <c r="F696">
        <v>45535</v>
      </c>
      <c r="G696" t="s">
        <v>1894</v>
      </c>
      <c r="H696" t="s">
        <v>18</v>
      </c>
      <c r="I696">
        <v>353.09</v>
      </c>
      <c r="J696" t="s">
        <v>30</v>
      </c>
    </row>
    <row r="697" spans="1:10" x14ac:dyDescent="0.25">
      <c r="A697">
        <v>1085</v>
      </c>
      <c r="B697" t="s">
        <v>1895</v>
      </c>
      <c r="C697">
        <v>30</v>
      </c>
      <c r="D697" t="s">
        <v>68</v>
      </c>
      <c r="E697">
        <v>46014</v>
      </c>
      <c r="F697">
        <v>45455</v>
      </c>
      <c r="G697" t="s">
        <v>1896</v>
      </c>
      <c r="H697" t="s">
        <v>24</v>
      </c>
      <c r="I697" t="s">
        <v>1897</v>
      </c>
      <c r="J697">
        <v>1</v>
      </c>
    </row>
    <row r="698" spans="1:10" x14ac:dyDescent="0.25">
      <c r="A698">
        <v>1012</v>
      </c>
      <c r="B698" t="s">
        <v>1898</v>
      </c>
      <c r="C698">
        <v>30</v>
      </c>
      <c r="D698" t="s">
        <v>16</v>
      </c>
      <c r="E698">
        <v>45994</v>
      </c>
      <c r="F698">
        <v>45430</v>
      </c>
      <c r="G698" t="s">
        <v>1899</v>
      </c>
      <c r="H698" t="s">
        <v>24</v>
      </c>
      <c r="I698" t="s">
        <v>1900</v>
      </c>
      <c r="J698">
        <v>1</v>
      </c>
    </row>
    <row r="699" spans="1:10" x14ac:dyDescent="0.25">
      <c r="A699">
        <v>1063</v>
      </c>
      <c r="B699" t="s">
        <v>1901</v>
      </c>
      <c r="C699">
        <v>46</v>
      </c>
      <c r="D699" t="s">
        <v>22</v>
      </c>
      <c r="E699">
        <v>45948</v>
      </c>
      <c r="F699">
        <v>45568</v>
      </c>
      <c r="G699" t="s">
        <v>1902</v>
      </c>
      <c r="H699" t="s">
        <v>18</v>
      </c>
      <c r="I699" t="s">
        <v>1903</v>
      </c>
      <c r="J699" t="s">
        <v>57</v>
      </c>
    </row>
    <row r="700" spans="1:10" x14ac:dyDescent="0.25">
      <c r="A700">
        <v>1046</v>
      </c>
      <c r="B700" t="s">
        <v>1060</v>
      </c>
      <c r="C700">
        <v>28</v>
      </c>
      <c r="D700">
        <v>1</v>
      </c>
      <c r="E700">
        <v>45767</v>
      </c>
      <c r="F700">
        <v>45505</v>
      </c>
      <c r="G700" t="s">
        <v>1904</v>
      </c>
      <c r="H700" t="s">
        <v>18</v>
      </c>
      <c r="I700" t="s">
        <v>1905</v>
      </c>
      <c r="J700" t="s">
        <v>20</v>
      </c>
    </row>
    <row r="701" spans="1:10" x14ac:dyDescent="0.25">
      <c r="A701">
        <v>1031</v>
      </c>
      <c r="B701" t="s">
        <v>1906</v>
      </c>
      <c r="C701">
        <v>57</v>
      </c>
      <c r="D701">
        <v>0</v>
      </c>
      <c r="E701">
        <v>45808</v>
      </c>
      <c r="F701">
        <v>45702</v>
      </c>
      <c r="G701" t="s">
        <v>1907</v>
      </c>
      <c r="H701" t="s">
        <v>18</v>
      </c>
      <c r="I701">
        <v>341.11</v>
      </c>
      <c r="J701" t="s">
        <v>30</v>
      </c>
    </row>
    <row r="702" spans="1:10" x14ac:dyDescent="0.25">
      <c r="A702">
        <v>1098</v>
      </c>
      <c r="B702" t="s">
        <v>1908</v>
      </c>
      <c r="C702">
        <v>27</v>
      </c>
      <c r="E702">
        <v>46063</v>
      </c>
      <c r="F702">
        <v>45837</v>
      </c>
      <c r="G702" t="s">
        <v>1909</v>
      </c>
      <c r="H702" t="s">
        <v>28</v>
      </c>
      <c r="I702">
        <v>147.08000000000001</v>
      </c>
      <c r="J702" t="s">
        <v>57</v>
      </c>
    </row>
    <row r="703" spans="1:10" x14ac:dyDescent="0.25">
      <c r="A703">
        <v>1021</v>
      </c>
      <c r="B703" t="s">
        <v>1910</v>
      </c>
      <c r="C703">
        <v>63</v>
      </c>
      <c r="D703" t="s">
        <v>49</v>
      </c>
      <c r="E703">
        <v>45843</v>
      </c>
      <c r="F703">
        <v>45829</v>
      </c>
      <c r="G703" t="s">
        <v>1911</v>
      </c>
      <c r="H703" t="s">
        <v>24</v>
      </c>
      <c r="I703">
        <v>462.6</v>
      </c>
      <c r="J703">
        <v>1</v>
      </c>
    </row>
    <row r="704" spans="1:10" x14ac:dyDescent="0.25">
      <c r="A704">
        <v>1085</v>
      </c>
      <c r="B704" t="s">
        <v>1912</v>
      </c>
      <c r="C704">
        <v>25</v>
      </c>
      <c r="D704" t="s">
        <v>16</v>
      </c>
      <c r="E704">
        <v>45943</v>
      </c>
      <c r="F704">
        <v>45729</v>
      </c>
      <c r="G704" t="s">
        <v>1913</v>
      </c>
      <c r="H704" t="s">
        <v>28</v>
      </c>
      <c r="I704" t="s">
        <v>1914</v>
      </c>
      <c r="J704" t="s">
        <v>35</v>
      </c>
    </row>
    <row r="705" spans="1:10" x14ac:dyDescent="0.25">
      <c r="A705">
        <v>1015</v>
      </c>
      <c r="B705" t="s">
        <v>1915</v>
      </c>
      <c r="C705">
        <v>84</v>
      </c>
      <c r="D705">
        <v>0</v>
      </c>
      <c r="E705">
        <v>46106</v>
      </c>
      <c r="F705">
        <v>45900</v>
      </c>
      <c r="G705" t="s">
        <v>1916</v>
      </c>
      <c r="H705" t="s">
        <v>13</v>
      </c>
      <c r="I705" t="s">
        <v>1917</v>
      </c>
      <c r="J705">
        <v>1</v>
      </c>
    </row>
    <row r="706" spans="1:10" x14ac:dyDescent="0.25">
      <c r="A706">
        <v>1015</v>
      </c>
      <c r="B706" t="s">
        <v>1918</v>
      </c>
      <c r="C706">
        <v>86</v>
      </c>
      <c r="E706">
        <v>45922</v>
      </c>
      <c r="F706">
        <v>45488</v>
      </c>
      <c r="G706" t="s">
        <v>1919</v>
      </c>
      <c r="H706" t="s">
        <v>18</v>
      </c>
      <c r="I706" t="s">
        <v>1920</v>
      </c>
      <c r="J706" t="s">
        <v>35</v>
      </c>
    </row>
    <row r="707" spans="1:10" x14ac:dyDescent="0.25">
      <c r="A707">
        <v>1008</v>
      </c>
      <c r="B707" t="s">
        <v>1921</v>
      </c>
      <c r="C707">
        <v>40</v>
      </c>
      <c r="D707">
        <v>0</v>
      </c>
      <c r="E707">
        <v>45960</v>
      </c>
      <c r="F707">
        <v>45504</v>
      </c>
      <c r="G707" t="s">
        <v>1922</v>
      </c>
      <c r="H707" t="s">
        <v>18</v>
      </c>
      <c r="I707" t="s">
        <v>1923</v>
      </c>
      <c r="J707" t="s">
        <v>57</v>
      </c>
    </row>
    <row r="708" spans="1:10" x14ac:dyDescent="0.25">
      <c r="A708">
        <v>1080</v>
      </c>
      <c r="B708" t="s">
        <v>1924</v>
      </c>
      <c r="C708">
        <v>78</v>
      </c>
      <c r="D708" t="s">
        <v>49</v>
      </c>
      <c r="E708">
        <v>46055</v>
      </c>
      <c r="F708">
        <v>45975</v>
      </c>
      <c r="G708" t="s">
        <v>1925</v>
      </c>
      <c r="H708" t="s">
        <v>13</v>
      </c>
      <c r="I708">
        <v>179.07</v>
      </c>
      <c r="J708" t="s">
        <v>30</v>
      </c>
    </row>
    <row r="709" spans="1:10" x14ac:dyDescent="0.25">
      <c r="A709">
        <v>1067</v>
      </c>
      <c r="B709" t="s">
        <v>1926</v>
      </c>
      <c r="C709">
        <v>28</v>
      </c>
      <c r="D709" t="s">
        <v>68</v>
      </c>
      <c r="E709">
        <v>46029</v>
      </c>
      <c r="F709">
        <v>45892</v>
      </c>
      <c r="G709" t="s">
        <v>1927</v>
      </c>
      <c r="H709" t="s">
        <v>13</v>
      </c>
      <c r="I709" t="s">
        <v>1928</v>
      </c>
      <c r="J709" t="s">
        <v>20</v>
      </c>
    </row>
    <row r="710" spans="1:10" x14ac:dyDescent="0.25">
      <c r="A710">
        <v>1043</v>
      </c>
      <c r="B710" t="s">
        <v>1929</v>
      </c>
      <c r="C710">
        <v>80</v>
      </c>
      <c r="D710" t="s">
        <v>16</v>
      </c>
      <c r="E710">
        <v>45928</v>
      </c>
      <c r="F710">
        <v>45534</v>
      </c>
      <c r="G710" t="s">
        <v>1930</v>
      </c>
      <c r="H710" t="s">
        <v>24</v>
      </c>
      <c r="I710">
        <v>84.72</v>
      </c>
      <c r="J710">
        <v>1</v>
      </c>
    </row>
    <row r="711" spans="1:10" x14ac:dyDescent="0.25">
      <c r="A711">
        <v>1058</v>
      </c>
      <c r="B711" t="s">
        <v>1931</v>
      </c>
      <c r="C711">
        <v>34</v>
      </c>
      <c r="D711" t="s">
        <v>68</v>
      </c>
      <c r="E711">
        <v>45770</v>
      </c>
      <c r="F711">
        <v>45634</v>
      </c>
      <c r="G711" t="s">
        <v>1932</v>
      </c>
      <c r="H711" t="s">
        <v>18</v>
      </c>
      <c r="J711">
        <v>1</v>
      </c>
    </row>
    <row r="712" spans="1:10" x14ac:dyDescent="0.25">
      <c r="A712">
        <v>1001</v>
      </c>
      <c r="B712" t="s">
        <v>1933</v>
      </c>
      <c r="C712">
        <v>35</v>
      </c>
      <c r="D712" t="s">
        <v>49</v>
      </c>
      <c r="E712">
        <v>45852</v>
      </c>
      <c r="F712">
        <v>45475</v>
      </c>
      <c r="G712" t="s">
        <v>1934</v>
      </c>
      <c r="H712" t="s">
        <v>18</v>
      </c>
      <c r="I712" t="s">
        <v>1935</v>
      </c>
      <c r="J712">
        <v>0</v>
      </c>
    </row>
    <row r="713" spans="1:10" x14ac:dyDescent="0.25">
      <c r="A713">
        <v>1012</v>
      </c>
      <c r="B713" t="s">
        <v>1936</v>
      </c>
      <c r="C713">
        <v>36</v>
      </c>
      <c r="D713">
        <v>1</v>
      </c>
      <c r="E713">
        <v>46106</v>
      </c>
      <c r="F713">
        <v>45415</v>
      </c>
      <c r="G713" t="s">
        <v>1937</v>
      </c>
      <c r="H713" t="s">
        <v>13</v>
      </c>
      <c r="I713" t="s">
        <v>1938</v>
      </c>
      <c r="J713" t="s">
        <v>57</v>
      </c>
    </row>
    <row r="714" spans="1:10" x14ac:dyDescent="0.25">
      <c r="A714">
        <v>1066</v>
      </c>
      <c r="B714" t="s">
        <v>1939</v>
      </c>
      <c r="C714">
        <v>65</v>
      </c>
      <c r="D714" t="s">
        <v>68</v>
      </c>
      <c r="E714">
        <v>45879</v>
      </c>
      <c r="F714">
        <v>45663</v>
      </c>
      <c r="G714" t="s">
        <v>1940</v>
      </c>
      <c r="H714" t="s">
        <v>18</v>
      </c>
      <c r="I714" t="s">
        <v>1941</v>
      </c>
      <c r="J714" t="s">
        <v>35</v>
      </c>
    </row>
    <row r="715" spans="1:10" x14ac:dyDescent="0.25">
      <c r="A715">
        <v>1015</v>
      </c>
      <c r="B715" t="s">
        <v>1942</v>
      </c>
      <c r="C715">
        <v>29</v>
      </c>
      <c r="D715" t="s">
        <v>49</v>
      </c>
      <c r="E715">
        <v>45819</v>
      </c>
      <c r="F715">
        <v>45475</v>
      </c>
      <c r="G715" t="s">
        <v>1943</v>
      </c>
      <c r="H715" t="s">
        <v>13</v>
      </c>
      <c r="I715" t="s">
        <v>1944</v>
      </c>
      <c r="J715" t="s">
        <v>20</v>
      </c>
    </row>
    <row r="716" spans="1:10" x14ac:dyDescent="0.25">
      <c r="A716">
        <v>1024</v>
      </c>
      <c r="B716" t="s">
        <v>1945</v>
      </c>
      <c r="C716">
        <v>22</v>
      </c>
      <c r="E716">
        <v>45848</v>
      </c>
      <c r="F716">
        <v>45489</v>
      </c>
      <c r="G716" t="s">
        <v>1946</v>
      </c>
      <c r="H716" t="s">
        <v>24</v>
      </c>
      <c r="I716">
        <v>477.72</v>
      </c>
      <c r="J716">
        <v>0</v>
      </c>
    </row>
    <row r="717" spans="1:10" x14ac:dyDescent="0.25">
      <c r="A717">
        <v>1013</v>
      </c>
      <c r="B717" t="s">
        <v>1947</v>
      </c>
      <c r="C717">
        <v>69</v>
      </c>
      <c r="D717" t="s">
        <v>68</v>
      </c>
      <c r="E717">
        <v>46043</v>
      </c>
      <c r="F717">
        <v>45444</v>
      </c>
      <c r="G717" t="s">
        <v>1948</v>
      </c>
      <c r="H717" t="s">
        <v>28</v>
      </c>
      <c r="I717" t="s">
        <v>1949</v>
      </c>
      <c r="J717">
        <v>1</v>
      </c>
    </row>
    <row r="718" spans="1:10" x14ac:dyDescent="0.25">
      <c r="A718">
        <v>1024</v>
      </c>
      <c r="B718" t="s">
        <v>1950</v>
      </c>
      <c r="C718">
        <v>35</v>
      </c>
      <c r="D718" t="s">
        <v>22</v>
      </c>
      <c r="E718">
        <v>45886</v>
      </c>
      <c r="F718">
        <v>45875</v>
      </c>
      <c r="G718" t="s">
        <v>1951</v>
      </c>
      <c r="H718" t="s">
        <v>24</v>
      </c>
      <c r="I718">
        <v>270.14999999999998</v>
      </c>
      <c r="J718">
        <v>1</v>
      </c>
    </row>
    <row r="719" spans="1:10" x14ac:dyDescent="0.25">
      <c r="A719">
        <v>1061</v>
      </c>
      <c r="B719" t="s">
        <v>1952</v>
      </c>
      <c r="C719">
        <v>59</v>
      </c>
      <c r="D719" t="s">
        <v>16</v>
      </c>
      <c r="E719">
        <v>45942</v>
      </c>
      <c r="F719">
        <v>45823</v>
      </c>
      <c r="G719" t="s">
        <v>1953</v>
      </c>
      <c r="H719" t="s">
        <v>18</v>
      </c>
      <c r="I719" t="s">
        <v>1954</v>
      </c>
      <c r="J719" t="s">
        <v>20</v>
      </c>
    </row>
    <row r="720" spans="1:10" x14ac:dyDescent="0.25">
      <c r="A720">
        <v>1095</v>
      </c>
      <c r="B720" t="s">
        <v>1955</v>
      </c>
      <c r="C720">
        <v>56</v>
      </c>
      <c r="D720">
        <v>1</v>
      </c>
      <c r="E720">
        <v>45812</v>
      </c>
      <c r="F720">
        <v>45441</v>
      </c>
      <c r="G720" t="s">
        <v>1956</v>
      </c>
      <c r="H720" t="s">
        <v>13</v>
      </c>
      <c r="I720" t="s">
        <v>1957</v>
      </c>
      <c r="J720" t="s">
        <v>20</v>
      </c>
    </row>
    <row r="721" spans="1:10" x14ac:dyDescent="0.25">
      <c r="A721">
        <v>1048</v>
      </c>
      <c r="B721" t="s">
        <v>1958</v>
      </c>
      <c r="C721">
        <v>67</v>
      </c>
      <c r="D721" t="s">
        <v>49</v>
      </c>
      <c r="E721">
        <v>45988</v>
      </c>
      <c r="F721">
        <v>45503</v>
      </c>
      <c r="G721" t="s">
        <v>1959</v>
      </c>
      <c r="H721" t="s">
        <v>24</v>
      </c>
      <c r="I721" t="s">
        <v>1960</v>
      </c>
      <c r="J721" t="s">
        <v>30</v>
      </c>
    </row>
    <row r="722" spans="1:10" x14ac:dyDescent="0.25">
      <c r="A722">
        <v>1033</v>
      </c>
      <c r="B722" t="s">
        <v>1961</v>
      </c>
      <c r="C722">
        <v>64</v>
      </c>
      <c r="D722" t="s">
        <v>16</v>
      </c>
      <c r="E722">
        <v>45916</v>
      </c>
      <c r="F722">
        <v>45680</v>
      </c>
      <c r="G722" t="s">
        <v>1962</v>
      </c>
      <c r="H722" t="s">
        <v>28</v>
      </c>
      <c r="I722" t="s">
        <v>1963</v>
      </c>
      <c r="J722">
        <v>1</v>
      </c>
    </row>
    <row r="723" spans="1:10" x14ac:dyDescent="0.25">
      <c r="A723">
        <v>1085</v>
      </c>
      <c r="B723" t="s">
        <v>1964</v>
      </c>
      <c r="C723">
        <v>22</v>
      </c>
      <c r="D723" t="s">
        <v>11</v>
      </c>
      <c r="E723">
        <v>45932</v>
      </c>
      <c r="F723">
        <v>45842</v>
      </c>
      <c r="G723" t="s">
        <v>1965</v>
      </c>
      <c r="H723" t="s">
        <v>28</v>
      </c>
      <c r="I723" t="s">
        <v>1966</v>
      </c>
      <c r="J723">
        <v>0</v>
      </c>
    </row>
    <row r="724" spans="1:10" x14ac:dyDescent="0.25">
      <c r="A724">
        <v>1003</v>
      </c>
      <c r="B724" t="s">
        <v>1967</v>
      </c>
      <c r="C724">
        <v>89</v>
      </c>
      <c r="D724" t="s">
        <v>37</v>
      </c>
      <c r="E724">
        <v>46013</v>
      </c>
      <c r="F724">
        <v>45724</v>
      </c>
      <c r="G724" t="s">
        <v>1968</v>
      </c>
      <c r="H724" t="s">
        <v>28</v>
      </c>
      <c r="I724" t="s">
        <v>1969</v>
      </c>
      <c r="J724" t="s">
        <v>35</v>
      </c>
    </row>
    <row r="725" spans="1:10" x14ac:dyDescent="0.25">
      <c r="A725">
        <v>1030</v>
      </c>
      <c r="B725" t="s">
        <v>1970</v>
      </c>
      <c r="C725">
        <v>72</v>
      </c>
      <c r="D725" t="s">
        <v>16</v>
      </c>
      <c r="E725">
        <v>45787</v>
      </c>
      <c r="F725">
        <v>45715</v>
      </c>
      <c r="G725" t="s">
        <v>1130</v>
      </c>
      <c r="H725" t="s">
        <v>24</v>
      </c>
      <c r="I725" t="s">
        <v>1971</v>
      </c>
      <c r="J725" t="s">
        <v>30</v>
      </c>
    </row>
    <row r="726" spans="1:10" x14ac:dyDescent="0.25">
      <c r="A726">
        <v>1083</v>
      </c>
      <c r="B726" t="s">
        <v>1972</v>
      </c>
      <c r="C726">
        <v>40</v>
      </c>
      <c r="D726" t="s">
        <v>11</v>
      </c>
      <c r="E726">
        <v>45966</v>
      </c>
      <c r="F726">
        <v>45519</v>
      </c>
      <c r="G726" t="s">
        <v>1973</v>
      </c>
      <c r="H726" t="s">
        <v>18</v>
      </c>
      <c r="I726" t="s">
        <v>1974</v>
      </c>
      <c r="J726">
        <v>0</v>
      </c>
    </row>
    <row r="727" spans="1:10" x14ac:dyDescent="0.25">
      <c r="A727">
        <v>1004</v>
      </c>
      <c r="B727" t="s">
        <v>1975</v>
      </c>
      <c r="C727">
        <v>36</v>
      </c>
      <c r="D727">
        <v>0</v>
      </c>
      <c r="E727">
        <v>46047</v>
      </c>
      <c r="F727">
        <v>45595</v>
      </c>
      <c r="G727" t="s">
        <v>1976</v>
      </c>
      <c r="H727" t="s">
        <v>13</v>
      </c>
      <c r="I727" t="s">
        <v>1977</v>
      </c>
      <c r="J727" t="s">
        <v>35</v>
      </c>
    </row>
    <row r="728" spans="1:10" x14ac:dyDescent="0.25">
      <c r="A728">
        <v>1051</v>
      </c>
      <c r="B728" t="s">
        <v>1978</v>
      </c>
      <c r="C728">
        <v>71</v>
      </c>
      <c r="D728" t="s">
        <v>37</v>
      </c>
      <c r="E728">
        <v>46049</v>
      </c>
      <c r="F728">
        <v>45723</v>
      </c>
      <c r="G728" t="s">
        <v>1979</v>
      </c>
      <c r="H728" t="s">
        <v>13</v>
      </c>
      <c r="I728" t="s">
        <v>1980</v>
      </c>
      <c r="J728">
        <v>1</v>
      </c>
    </row>
    <row r="729" spans="1:10" x14ac:dyDescent="0.25">
      <c r="A729">
        <v>1059</v>
      </c>
      <c r="B729" t="s">
        <v>1981</v>
      </c>
      <c r="C729">
        <v>81</v>
      </c>
      <c r="D729" t="s">
        <v>37</v>
      </c>
      <c r="E729">
        <v>45744</v>
      </c>
      <c r="F729">
        <v>45704</v>
      </c>
      <c r="G729" t="s">
        <v>1982</v>
      </c>
      <c r="H729" t="s">
        <v>13</v>
      </c>
      <c r="I729" t="s">
        <v>1983</v>
      </c>
      <c r="J729" t="s">
        <v>30</v>
      </c>
    </row>
    <row r="730" spans="1:10" x14ac:dyDescent="0.25">
      <c r="A730">
        <v>1044</v>
      </c>
      <c r="B730" t="s">
        <v>1984</v>
      </c>
      <c r="C730">
        <v>21</v>
      </c>
      <c r="D730">
        <v>1</v>
      </c>
      <c r="E730">
        <v>45765</v>
      </c>
      <c r="F730">
        <v>45559</v>
      </c>
      <c r="G730" t="s">
        <v>1985</v>
      </c>
      <c r="H730" t="s">
        <v>28</v>
      </c>
      <c r="I730">
        <v>156.1</v>
      </c>
      <c r="J730" t="s">
        <v>20</v>
      </c>
    </row>
    <row r="731" spans="1:10" x14ac:dyDescent="0.25">
      <c r="A731">
        <v>1068</v>
      </c>
      <c r="B731" t="s">
        <v>1986</v>
      </c>
      <c r="C731">
        <v>87</v>
      </c>
      <c r="E731">
        <v>45899</v>
      </c>
      <c r="F731">
        <v>45641</v>
      </c>
      <c r="G731" t="s">
        <v>1987</v>
      </c>
      <c r="H731" t="s">
        <v>28</v>
      </c>
      <c r="I731">
        <v>246.13</v>
      </c>
      <c r="J731" t="s">
        <v>57</v>
      </c>
    </row>
    <row r="732" spans="1:10" x14ac:dyDescent="0.25">
      <c r="A732">
        <v>1024</v>
      </c>
      <c r="B732" t="s">
        <v>1988</v>
      </c>
      <c r="C732">
        <v>60</v>
      </c>
      <c r="D732" t="s">
        <v>11</v>
      </c>
      <c r="E732">
        <v>45858</v>
      </c>
      <c r="F732">
        <v>45617</v>
      </c>
      <c r="G732" t="s">
        <v>1989</v>
      </c>
      <c r="H732" t="s">
        <v>13</v>
      </c>
      <c r="I732" t="s">
        <v>1990</v>
      </c>
      <c r="J732" t="s">
        <v>30</v>
      </c>
    </row>
    <row r="733" spans="1:10" x14ac:dyDescent="0.25">
      <c r="A733">
        <v>1010</v>
      </c>
      <c r="B733" t="s">
        <v>1991</v>
      </c>
      <c r="C733">
        <v>72</v>
      </c>
      <c r="D733" t="s">
        <v>16</v>
      </c>
      <c r="E733">
        <v>46069</v>
      </c>
      <c r="F733">
        <v>45480</v>
      </c>
      <c r="G733" t="s">
        <v>1992</v>
      </c>
      <c r="H733" t="s">
        <v>28</v>
      </c>
      <c r="I733">
        <v>235.81</v>
      </c>
      <c r="J733" t="s">
        <v>30</v>
      </c>
    </row>
    <row r="734" spans="1:10" x14ac:dyDescent="0.25">
      <c r="A734">
        <v>1099</v>
      </c>
      <c r="B734" t="s">
        <v>1993</v>
      </c>
      <c r="C734">
        <v>25</v>
      </c>
      <c r="D734">
        <v>1</v>
      </c>
      <c r="E734">
        <v>45768</v>
      </c>
      <c r="F734">
        <v>45555</v>
      </c>
      <c r="G734" t="s">
        <v>1994</v>
      </c>
      <c r="H734" t="s">
        <v>13</v>
      </c>
      <c r="I734" t="s">
        <v>1995</v>
      </c>
      <c r="J734" t="s">
        <v>30</v>
      </c>
    </row>
    <row r="735" spans="1:10" x14ac:dyDescent="0.25">
      <c r="A735">
        <v>1060</v>
      </c>
      <c r="B735" t="s">
        <v>1996</v>
      </c>
      <c r="C735">
        <v>39</v>
      </c>
      <c r="D735" t="s">
        <v>68</v>
      </c>
      <c r="E735">
        <v>46031</v>
      </c>
      <c r="F735">
        <v>45828</v>
      </c>
      <c r="G735" t="s">
        <v>1997</v>
      </c>
      <c r="H735" t="s">
        <v>13</v>
      </c>
      <c r="I735" t="s">
        <v>1998</v>
      </c>
      <c r="J735">
        <v>0</v>
      </c>
    </row>
    <row r="736" spans="1:10" x14ac:dyDescent="0.25">
      <c r="A736">
        <v>1044</v>
      </c>
      <c r="B736" t="s">
        <v>1999</v>
      </c>
      <c r="C736">
        <v>63</v>
      </c>
      <c r="D736" t="s">
        <v>11</v>
      </c>
      <c r="E736">
        <v>45919</v>
      </c>
      <c r="F736">
        <v>45695</v>
      </c>
      <c r="G736" t="s">
        <v>2000</v>
      </c>
      <c r="H736" t="s">
        <v>28</v>
      </c>
      <c r="I736" t="s">
        <v>2001</v>
      </c>
      <c r="J736" t="s">
        <v>57</v>
      </c>
    </row>
    <row r="737" spans="1:10" x14ac:dyDescent="0.25">
      <c r="A737">
        <v>1047</v>
      </c>
      <c r="B737" t="s">
        <v>2002</v>
      </c>
      <c r="C737">
        <v>33</v>
      </c>
      <c r="D737">
        <v>1</v>
      </c>
      <c r="E737">
        <v>46071</v>
      </c>
      <c r="F737">
        <v>45445</v>
      </c>
      <c r="G737" t="s">
        <v>2003</v>
      </c>
      <c r="H737" t="s">
        <v>28</v>
      </c>
      <c r="I737">
        <v>307.29000000000002</v>
      </c>
      <c r="J737">
        <v>1</v>
      </c>
    </row>
    <row r="738" spans="1:10" x14ac:dyDescent="0.25">
      <c r="A738">
        <v>1063</v>
      </c>
      <c r="B738" t="s">
        <v>2004</v>
      </c>
      <c r="C738">
        <v>88</v>
      </c>
      <c r="D738" t="s">
        <v>37</v>
      </c>
      <c r="E738">
        <v>45995</v>
      </c>
      <c r="F738">
        <v>45941</v>
      </c>
      <c r="G738" t="s">
        <v>2005</v>
      </c>
      <c r="H738" t="s">
        <v>18</v>
      </c>
      <c r="I738" t="s">
        <v>2006</v>
      </c>
      <c r="J738" t="s">
        <v>30</v>
      </c>
    </row>
    <row r="739" spans="1:10" x14ac:dyDescent="0.25">
      <c r="A739">
        <v>1036</v>
      </c>
      <c r="B739" t="s">
        <v>2007</v>
      </c>
      <c r="C739">
        <v>44</v>
      </c>
      <c r="D739">
        <v>1</v>
      </c>
      <c r="E739">
        <v>45943</v>
      </c>
      <c r="F739">
        <v>45459</v>
      </c>
      <c r="G739" t="s">
        <v>2008</v>
      </c>
      <c r="H739" t="s">
        <v>18</v>
      </c>
      <c r="I739" t="s">
        <v>2009</v>
      </c>
      <c r="J739">
        <v>1</v>
      </c>
    </row>
    <row r="740" spans="1:10" x14ac:dyDescent="0.25">
      <c r="A740">
        <v>1002</v>
      </c>
      <c r="B740" t="s">
        <v>2010</v>
      </c>
      <c r="C740">
        <v>28</v>
      </c>
      <c r="D740">
        <v>0</v>
      </c>
      <c r="E740">
        <v>45810</v>
      </c>
      <c r="F740">
        <v>45464</v>
      </c>
      <c r="G740" t="s">
        <v>2011</v>
      </c>
      <c r="H740" t="s">
        <v>24</v>
      </c>
      <c r="I740">
        <v>270.70999999999998</v>
      </c>
      <c r="J740">
        <v>0</v>
      </c>
    </row>
    <row r="741" spans="1:10" x14ac:dyDescent="0.25">
      <c r="A741">
        <v>1075</v>
      </c>
      <c r="B741" t="s">
        <v>2012</v>
      </c>
      <c r="C741">
        <v>25</v>
      </c>
      <c r="D741" t="s">
        <v>11</v>
      </c>
      <c r="E741">
        <v>45903</v>
      </c>
      <c r="F741">
        <v>45592</v>
      </c>
      <c r="G741" t="s">
        <v>2013</v>
      </c>
      <c r="H741" t="s">
        <v>18</v>
      </c>
      <c r="I741">
        <v>253.36</v>
      </c>
      <c r="J741" t="s">
        <v>20</v>
      </c>
    </row>
    <row r="742" spans="1:10" x14ac:dyDescent="0.25">
      <c r="A742">
        <v>1090</v>
      </c>
      <c r="B742" t="s">
        <v>2014</v>
      </c>
      <c r="C742">
        <v>85</v>
      </c>
      <c r="D742" t="s">
        <v>49</v>
      </c>
      <c r="E742">
        <v>46042</v>
      </c>
      <c r="F742">
        <v>45726</v>
      </c>
      <c r="G742" t="s">
        <v>2015</v>
      </c>
      <c r="H742" t="s">
        <v>24</v>
      </c>
      <c r="I742">
        <v>192.87</v>
      </c>
      <c r="J742" t="s">
        <v>30</v>
      </c>
    </row>
    <row r="743" spans="1:10" x14ac:dyDescent="0.25">
      <c r="A743">
        <v>1000</v>
      </c>
      <c r="B743" t="s">
        <v>2016</v>
      </c>
      <c r="C743">
        <v>18</v>
      </c>
      <c r="D743" t="s">
        <v>49</v>
      </c>
      <c r="E743">
        <v>45883</v>
      </c>
      <c r="F743">
        <v>45757</v>
      </c>
      <c r="G743" t="s">
        <v>2017</v>
      </c>
      <c r="H743" t="s">
        <v>18</v>
      </c>
      <c r="I743" t="s">
        <v>2018</v>
      </c>
      <c r="J743">
        <v>0</v>
      </c>
    </row>
    <row r="744" spans="1:10" x14ac:dyDescent="0.25">
      <c r="A744">
        <v>1073</v>
      </c>
      <c r="B744" t="s">
        <v>2019</v>
      </c>
      <c r="C744">
        <v>75</v>
      </c>
      <c r="E744">
        <v>46028</v>
      </c>
      <c r="F744">
        <v>45710</v>
      </c>
      <c r="G744" t="s">
        <v>2020</v>
      </c>
      <c r="H744" t="s">
        <v>28</v>
      </c>
      <c r="I744" t="s">
        <v>2021</v>
      </c>
      <c r="J744" t="s">
        <v>57</v>
      </c>
    </row>
    <row r="745" spans="1:10" x14ac:dyDescent="0.25">
      <c r="A745">
        <v>1075</v>
      </c>
      <c r="B745" t="s">
        <v>2022</v>
      </c>
      <c r="C745">
        <v>73</v>
      </c>
      <c r="D745">
        <v>1</v>
      </c>
      <c r="E745">
        <v>45752</v>
      </c>
      <c r="F745">
        <v>45646</v>
      </c>
      <c r="G745" t="s">
        <v>2023</v>
      </c>
      <c r="H745" t="s">
        <v>24</v>
      </c>
      <c r="I745">
        <v>348.18</v>
      </c>
      <c r="J745">
        <v>0</v>
      </c>
    </row>
    <row r="746" spans="1:10" x14ac:dyDescent="0.25">
      <c r="A746">
        <v>1033</v>
      </c>
      <c r="B746" t="s">
        <v>2024</v>
      </c>
      <c r="C746">
        <v>58</v>
      </c>
      <c r="D746" t="s">
        <v>68</v>
      </c>
      <c r="E746">
        <v>45801</v>
      </c>
      <c r="F746">
        <v>45544</v>
      </c>
      <c r="G746" t="s">
        <v>2025</v>
      </c>
      <c r="H746" t="s">
        <v>18</v>
      </c>
      <c r="I746" t="s">
        <v>2026</v>
      </c>
      <c r="J746">
        <v>1</v>
      </c>
    </row>
    <row r="747" spans="1:10" x14ac:dyDescent="0.25">
      <c r="A747">
        <v>1051</v>
      </c>
      <c r="B747" t="s">
        <v>973</v>
      </c>
      <c r="C747">
        <v>52</v>
      </c>
      <c r="D747" t="s">
        <v>68</v>
      </c>
      <c r="E747">
        <v>45961</v>
      </c>
      <c r="F747">
        <v>45536</v>
      </c>
      <c r="G747" t="s">
        <v>2027</v>
      </c>
      <c r="H747" t="s">
        <v>24</v>
      </c>
      <c r="J747">
        <v>0</v>
      </c>
    </row>
    <row r="748" spans="1:10" x14ac:dyDescent="0.25">
      <c r="A748">
        <v>1021</v>
      </c>
      <c r="B748" t="s">
        <v>2028</v>
      </c>
      <c r="C748">
        <v>41</v>
      </c>
      <c r="D748" t="s">
        <v>22</v>
      </c>
      <c r="E748">
        <v>45911</v>
      </c>
      <c r="F748">
        <v>45626</v>
      </c>
      <c r="G748" t="s">
        <v>2029</v>
      </c>
      <c r="H748" t="s">
        <v>28</v>
      </c>
      <c r="I748">
        <v>473.2</v>
      </c>
      <c r="J748" t="s">
        <v>30</v>
      </c>
    </row>
    <row r="749" spans="1:10" x14ac:dyDescent="0.25">
      <c r="A749">
        <v>1052</v>
      </c>
      <c r="B749" t="s">
        <v>2030</v>
      </c>
      <c r="C749">
        <v>80</v>
      </c>
      <c r="D749">
        <v>0</v>
      </c>
      <c r="E749">
        <v>45781</v>
      </c>
      <c r="F749">
        <v>45555</v>
      </c>
      <c r="G749" t="s">
        <v>2031</v>
      </c>
      <c r="H749" t="s">
        <v>13</v>
      </c>
      <c r="I749">
        <v>124.09</v>
      </c>
      <c r="J749" t="s">
        <v>57</v>
      </c>
    </row>
    <row r="750" spans="1:10" x14ac:dyDescent="0.25">
      <c r="A750">
        <v>1028</v>
      </c>
      <c r="B750" t="s">
        <v>2032</v>
      </c>
      <c r="C750">
        <v>24</v>
      </c>
      <c r="D750" t="s">
        <v>37</v>
      </c>
      <c r="E750">
        <v>46085</v>
      </c>
      <c r="F750">
        <v>45749</v>
      </c>
      <c r="G750" t="s">
        <v>2033</v>
      </c>
      <c r="H750" t="s">
        <v>28</v>
      </c>
      <c r="I750" t="s">
        <v>2034</v>
      </c>
      <c r="J750" t="s">
        <v>20</v>
      </c>
    </row>
    <row r="751" spans="1:10" x14ac:dyDescent="0.25">
      <c r="A751">
        <v>1062</v>
      </c>
      <c r="B751" t="s">
        <v>2035</v>
      </c>
      <c r="C751">
        <v>23</v>
      </c>
      <c r="D751" t="s">
        <v>37</v>
      </c>
      <c r="E751">
        <v>46051</v>
      </c>
      <c r="F751">
        <v>45474</v>
      </c>
      <c r="G751" t="s">
        <v>2036</v>
      </c>
      <c r="H751" t="s">
        <v>18</v>
      </c>
      <c r="I751">
        <v>151.03</v>
      </c>
      <c r="J751" t="s">
        <v>30</v>
      </c>
    </row>
    <row r="752" spans="1:10" x14ac:dyDescent="0.25">
      <c r="A752">
        <v>1088</v>
      </c>
      <c r="B752" t="s">
        <v>2037</v>
      </c>
      <c r="C752">
        <v>80</v>
      </c>
      <c r="D752" t="s">
        <v>16</v>
      </c>
      <c r="E752">
        <v>45839</v>
      </c>
      <c r="F752">
        <v>45608</v>
      </c>
      <c r="G752" t="s">
        <v>2038</v>
      </c>
      <c r="H752" t="s">
        <v>28</v>
      </c>
      <c r="I752" t="s">
        <v>2039</v>
      </c>
      <c r="J752" t="s">
        <v>20</v>
      </c>
    </row>
    <row r="753" spans="1:10" x14ac:dyDescent="0.25">
      <c r="A753">
        <v>1028</v>
      </c>
      <c r="B753" t="s">
        <v>2040</v>
      </c>
      <c r="C753">
        <v>26</v>
      </c>
      <c r="D753">
        <v>0</v>
      </c>
      <c r="E753">
        <v>45915</v>
      </c>
      <c r="F753">
        <v>45790</v>
      </c>
      <c r="G753" t="s">
        <v>2041</v>
      </c>
      <c r="H753" t="s">
        <v>13</v>
      </c>
      <c r="I753">
        <v>112.9</v>
      </c>
      <c r="J753" t="s">
        <v>20</v>
      </c>
    </row>
    <row r="754" spans="1:10" x14ac:dyDescent="0.25">
      <c r="A754">
        <v>1050</v>
      </c>
      <c r="B754" t="s">
        <v>2042</v>
      </c>
      <c r="C754">
        <v>65</v>
      </c>
      <c r="D754" t="s">
        <v>49</v>
      </c>
      <c r="E754">
        <v>46085</v>
      </c>
      <c r="F754">
        <v>45444</v>
      </c>
      <c r="G754" t="s">
        <v>2043</v>
      </c>
      <c r="H754" t="s">
        <v>28</v>
      </c>
      <c r="I754" t="s">
        <v>2044</v>
      </c>
      <c r="J754" t="s">
        <v>20</v>
      </c>
    </row>
    <row r="755" spans="1:10" x14ac:dyDescent="0.25">
      <c r="A755">
        <v>1004</v>
      </c>
      <c r="B755" t="s">
        <v>2045</v>
      </c>
      <c r="C755">
        <v>54</v>
      </c>
      <c r="D755" t="s">
        <v>22</v>
      </c>
      <c r="E755">
        <v>45903</v>
      </c>
      <c r="F755">
        <v>45708</v>
      </c>
      <c r="G755" t="s">
        <v>2046</v>
      </c>
      <c r="H755" t="s">
        <v>13</v>
      </c>
      <c r="I755" t="s">
        <v>2047</v>
      </c>
      <c r="J755" t="s">
        <v>30</v>
      </c>
    </row>
    <row r="756" spans="1:10" x14ac:dyDescent="0.25">
      <c r="A756">
        <v>1044</v>
      </c>
      <c r="B756" t="s">
        <v>2048</v>
      </c>
      <c r="C756">
        <v>58</v>
      </c>
      <c r="D756" t="s">
        <v>49</v>
      </c>
      <c r="E756">
        <v>45818</v>
      </c>
      <c r="F756">
        <v>45506</v>
      </c>
      <c r="G756" t="s">
        <v>2049</v>
      </c>
      <c r="H756" t="s">
        <v>18</v>
      </c>
      <c r="J756" t="s">
        <v>30</v>
      </c>
    </row>
    <row r="757" spans="1:10" x14ac:dyDescent="0.25">
      <c r="A757">
        <v>1030</v>
      </c>
      <c r="B757" t="s">
        <v>2050</v>
      </c>
      <c r="C757">
        <v>42</v>
      </c>
      <c r="D757" t="s">
        <v>68</v>
      </c>
      <c r="E757">
        <v>45954</v>
      </c>
      <c r="F757">
        <v>45623</v>
      </c>
      <c r="G757" t="s">
        <v>2051</v>
      </c>
      <c r="H757" t="s">
        <v>24</v>
      </c>
      <c r="I757" t="s">
        <v>2052</v>
      </c>
      <c r="J757" t="s">
        <v>20</v>
      </c>
    </row>
    <row r="758" spans="1:10" x14ac:dyDescent="0.25">
      <c r="A758">
        <v>1073</v>
      </c>
      <c r="B758" t="s">
        <v>2053</v>
      </c>
      <c r="C758">
        <v>84</v>
      </c>
      <c r="D758" t="s">
        <v>49</v>
      </c>
      <c r="E758">
        <v>45929</v>
      </c>
      <c r="F758">
        <v>45467</v>
      </c>
      <c r="G758" t="s">
        <v>2054</v>
      </c>
      <c r="H758" t="s">
        <v>24</v>
      </c>
      <c r="I758" t="s">
        <v>2055</v>
      </c>
      <c r="J758" t="s">
        <v>30</v>
      </c>
    </row>
    <row r="759" spans="1:10" x14ac:dyDescent="0.25">
      <c r="A759">
        <v>1018</v>
      </c>
      <c r="B759" t="s">
        <v>2056</v>
      </c>
      <c r="C759">
        <v>55</v>
      </c>
      <c r="D759">
        <v>1</v>
      </c>
      <c r="E759">
        <v>46014</v>
      </c>
      <c r="F759">
        <v>45711</v>
      </c>
      <c r="G759" t="s">
        <v>2057</v>
      </c>
      <c r="H759" t="s">
        <v>24</v>
      </c>
      <c r="I759" t="s">
        <v>2058</v>
      </c>
      <c r="J759">
        <v>0</v>
      </c>
    </row>
    <row r="760" spans="1:10" x14ac:dyDescent="0.25">
      <c r="A760">
        <v>1062</v>
      </c>
      <c r="B760" t="s">
        <v>2059</v>
      </c>
      <c r="C760">
        <v>84</v>
      </c>
      <c r="D760" t="s">
        <v>11</v>
      </c>
      <c r="E760">
        <v>45896</v>
      </c>
      <c r="F760">
        <v>45445</v>
      </c>
      <c r="G760" t="s">
        <v>2060</v>
      </c>
      <c r="H760" t="s">
        <v>13</v>
      </c>
      <c r="I760" t="s">
        <v>2061</v>
      </c>
      <c r="J760" t="s">
        <v>30</v>
      </c>
    </row>
    <row r="761" spans="1:10" x14ac:dyDescent="0.25">
      <c r="A761">
        <v>1014</v>
      </c>
      <c r="B761" t="s">
        <v>2062</v>
      </c>
      <c r="C761">
        <v>67</v>
      </c>
      <c r="D761" t="s">
        <v>37</v>
      </c>
      <c r="E761">
        <v>46107</v>
      </c>
      <c r="F761">
        <v>46088</v>
      </c>
      <c r="G761" t="s">
        <v>2063</v>
      </c>
      <c r="H761" t="s">
        <v>28</v>
      </c>
      <c r="I761" t="s">
        <v>2064</v>
      </c>
      <c r="J761" t="s">
        <v>57</v>
      </c>
    </row>
    <row r="762" spans="1:10" x14ac:dyDescent="0.25">
      <c r="A762">
        <v>1030</v>
      </c>
      <c r="B762" t="s">
        <v>2065</v>
      </c>
      <c r="C762">
        <v>40</v>
      </c>
      <c r="D762" t="s">
        <v>68</v>
      </c>
      <c r="E762">
        <v>45994</v>
      </c>
      <c r="F762">
        <v>45908</v>
      </c>
      <c r="G762" t="s">
        <v>2066</v>
      </c>
      <c r="H762" t="s">
        <v>18</v>
      </c>
      <c r="I762" t="s">
        <v>2067</v>
      </c>
      <c r="J762" t="s">
        <v>20</v>
      </c>
    </row>
    <row r="763" spans="1:10" x14ac:dyDescent="0.25">
      <c r="A763">
        <v>1081</v>
      </c>
      <c r="B763" t="s">
        <v>2068</v>
      </c>
      <c r="C763">
        <v>72</v>
      </c>
      <c r="D763" t="s">
        <v>37</v>
      </c>
      <c r="E763">
        <v>45751</v>
      </c>
      <c r="F763">
        <v>45643</v>
      </c>
      <c r="G763" t="s">
        <v>2069</v>
      </c>
      <c r="H763" t="s">
        <v>28</v>
      </c>
      <c r="I763" t="s">
        <v>2070</v>
      </c>
      <c r="J763" t="s">
        <v>30</v>
      </c>
    </row>
    <row r="764" spans="1:10" x14ac:dyDescent="0.25">
      <c r="A764">
        <v>1065</v>
      </c>
      <c r="B764" t="s">
        <v>2071</v>
      </c>
      <c r="C764">
        <v>32</v>
      </c>
      <c r="D764" t="s">
        <v>68</v>
      </c>
      <c r="E764">
        <v>45790</v>
      </c>
      <c r="F764">
        <v>45525</v>
      </c>
      <c r="G764" t="s">
        <v>2072</v>
      </c>
      <c r="H764" t="s">
        <v>13</v>
      </c>
      <c r="I764" t="s">
        <v>2073</v>
      </c>
      <c r="J764">
        <v>1</v>
      </c>
    </row>
    <row r="765" spans="1:10" x14ac:dyDescent="0.25">
      <c r="A765">
        <v>1081</v>
      </c>
      <c r="B765" t="s">
        <v>2074</v>
      </c>
      <c r="C765">
        <v>65</v>
      </c>
      <c r="D765" t="s">
        <v>16</v>
      </c>
      <c r="E765">
        <v>45937</v>
      </c>
      <c r="F765">
        <v>45635</v>
      </c>
      <c r="G765" t="s">
        <v>2075</v>
      </c>
      <c r="H765" t="s">
        <v>18</v>
      </c>
      <c r="J765" t="s">
        <v>30</v>
      </c>
    </row>
    <row r="766" spans="1:10" x14ac:dyDescent="0.25">
      <c r="A766">
        <v>1017</v>
      </c>
      <c r="B766" t="s">
        <v>2076</v>
      </c>
      <c r="C766">
        <v>82</v>
      </c>
      <c r="D766" t="s">
        <v>37</v>
      </c>
      <c r="E766">
        <v>46037</v>
      </c>
      <c r="F766">
        <v>45862</v>
      </c>
      <c r="G766" t="s">
        <v>2077</v>
      </c>
      <c r="H766" t="s">
        <v>28</v>
      </c>
      <c r="I766" t="s">
        <v>2078</v>
      </c>
      <c r="J766">
        <v>0</v>
      </c>
    </row>
    <row r="767" spans="1:10" x14ac:dyDescent="0.25">
      <c r="A767">
        <v>1001</v>
      </c>
      <c r="B767" t="s">
        <v>2079</v>
      </c>
      <c r="C767">
        <v>61</v>
      </c>
      <c r="D767" t="s">
        <v>68</v>
      </c>
      <c r="E767">
        <v>45954</v>
      </c>
      <c r="F767">
        <v>45890</v>
      </c>
      <c r="G767" t="s">
        <v>2080</v>
      </c>
      <c r="H767" t="s">
        <v>18</v>
      </c>
      <c r="I767" t="s">
        <v>2081</v>
      </c>
      <c r="J767" t="s">
        <v>35</v>
      </c>
    </row>
    <row r="768" spans="1:10" x14ac:dyDescent="0.25">
      <c r="A768">
        <v>1042</v>
      </c>
      <c r="B768" t="s">
        <v>2082</v>
      </c>
      <c r="C768">
        <v>75</v>
      </c>
      <c r="D768" t="s">
        <v>49</v>
      </c>
      <c r="E768">
        <v>46008</v>
      </c>
      <c r="F768">
        <v>45557</v>
      </c>
      <c r="G768" t="s">
        <v>2083</v>
      </c>
      <c r="H768" t="s">
        <v>24</v>
      </c>
      <c r="I768" t="s">
        <v>2084</v>
      </c>
      <c r="J768">
        <v>0</v>
      </c>
    </row>
    <row r="769" spans="1:10" x14ac:dyDescent="0.25">
      <c r="A769">
        <v>1015</v>
      </c>
      <c r="B769" t="s">
        <v>2085</v>
      </c>
      <c r="C769">
        <v>35</v>
      </c>
      <c r="D769" t="s">
        <v>37</v>
      </c>
      <c r="E769">
        <v>45959</v>
      </c>
      <c r="F769">
        <v>45821</v>
      </c>
      <c r="G769" t="s">
        <v>2086</v>
      </c>
      <c r="H769" t="s">
        <v>28</v>
      </c>
      <c r="I769" t="s">
        <v>2087</v>
      </c>
      <c r="J769">
        <v>0</v>
      </c>
    </row>
    <row r="770" spans="1:10" x14ac:dyDescent="0.25">
      <c r="A770">
        <v>1098</v>
      </c>
      <c r="B770" t="s">
        <v>2088</v>
      </c>
      <c r="C770">
        <v>66</v>
      </c>
      <c r="D770" t="s">
        <v>16</v>
      </c>
      <c r="E770">
        <v>45794</v>
      </c>
      <c r="F770">
        <v>45533</v>
      </c>
      <c r="G770" t="s">
        <v>2089</v>
      </c>
      <c r="H770" t="s">
        <v>24</v>
      </c>
      <c r="I770">
        <v>139.99</v>
      </c>
      <c r="J770" t="s">
        <v>57</v>
      </c>
    </row>
    <row r="771" spans="1:10" x14ac:dyDescent="0.25">
      <c r="A771">
        <v>1099</v>
      </c>
      <c r="B771" t="s">
        <v>594</v>
      </c>
      <c r="C771">
        <v>42</v>
      </c>
      <c r="D771" t="s">
        <v>68</v>
      </c>
      <c r="E771">
        <v>45868</v>
      </c>
      <c r="F771">
        <v>45725</v>
      </c>
      <c r="G771" t="s">
        <v>2090</v>
      </c>
      <c r="H771" t="s">
        <v>13</v>
      </c>
      <c r="I771" t="s">
        <v>2091</v>
      </c>
      <c r="J771">
        <v>1</v>
      </c>
    </row>
    <row r="772" spans="1:10" x14ac:dyDescent="0.25">
      <c r="A772">
        <v>1032</v>
      </c>
      <c r="B772" t="s">
        <v>2092</v>
      </c>
      <c r="C772">
        <v>19</v>
      </c>
      <c r="D772">
        <v>0</v>
      </c>
      <c r="E772">
        <v>45907</v>
      </c>
      <c r="F772">
        <v>45442</v>
      </c>
      <c r="G772" t="s">
        <v>2093</v>
      </c>
      <c r="H772" t="s">
        <v>13</v>
      </c>
      <c r="I772" t="s">
        <v>2094</v>
      </c>
      <c r="J772">
        <v>1</v>
      </c>
    </row>
    <row r="773" spans="1:10" x14ac:dyDescent="0.25">
      <c r="A773">
        <v>1034</v>
      </c>
      <c r="B773" t="s">
        <v>2095</v>
      </c>
      <c r="C773">
        <v>41</v>
      </c>
      <c r="D773" t="s">
        <v>22</v>
      </c>
      <c r="E773">
        <v>46056</v>
      </c>
      <c r="F773">
        <v>45934</v>
      </c>
      <c r="G773" t="s">
        <v>2096</v>
      </c>
      <c r="H773" t="s">
        <v>13</v>
      </c>
      <c r="I773" t="s">
        <v>2097</v>
      </c>
      <c r="J773" t="s">
        <v>35</v>
      </c>
    </row>
    <row r="774" spans="1:10" x14ac:dyDescent="0.25">
      <c r="A774">
        <v>1005</v>
      </c>
      <c r="B774" t="s">
        <v>1679</v>
      </c>
      <c r="C774">
        <v>27</v>
      </c>
      <c r="D774" t="s">
        <v>37</v>
      </c>
      <c r="E774">
        <v>45984</v>
      </c>
      <c r="F774">
        <v>45394</v>
      </c>
      <c r="G774" t="s">
        <v>2098</v>
      </c>
      <c r="H774" t="s">
        <v>28</v>
      </c>
      <c r="I774" t="s">
        <v>2099</v>
      </c>
      <c r="J774">
        <v>1</v>
      </c>
    </row>
    <row r="775" spans="1:10" x14ac:dyDescent="0.25">
      <c r="A775">
        <v>1050</v>
      </c>
      <c r="B775" t="s">
        <v>2100</v>
      </c>
      <c r="C775">
        <v>21</v>
      </c>
      <c r="D775">
        <v>0</v>
      </c>
      <c r="E775">
        <v>45853</v>
      </c>
      <c r="F775">
        <v>45496</v>
      </c>
      <c r="G775" t="s">
        <v>2101</v>
      </c>
      <c r="H775" t="s">
        <v>24</v>
      </c>
      <c r="I775" t="s">
        <v>2102</v>
      </c>
      <c r="J775">
        <v>0</v>
      </c>
    </row>
    <row r="776" spans="1:10" x14ac:dyDescent="0.25">
      <c r="A776">
        <v>1069</v>
      </c>
      <c r="B776" t="s">
        <v>2103</v>
      </c>
      <c r="C776">
        <v>20</v>
      </c>
      <c r="D776">
        <v>1</v>
      </c>
      <c r="E776">
        <v>45778</v>
      </c>
      <c r="F776">
        <v>45775</v>
      </c>
      <c r="G776" t="s">
        <v>2104</v>
      </c>
      <c r="H776" t="s">
        <v>18</v>
      </c>
      <c r="I776" t="s">
        <v>2105</v>
      </c>
      <c r="J776" t="s">
        <v>57</v>
      </c>
    </row>
    <row r="777" spans="1:10" x14ac:dyDescent="0.25">
      <c r="A777">
        <v>1001</v>
      </c>
      <c r="B777" t="s">
        <v>2106</v>
      </c>
      <c r="C777">
        <v>84</v>
      </c>
      <c r="D777" t="s">
        <v>49</v>
      </c>
      <c r="E777">
        <v>46065</v>
      </c>
      <c r="F777">
        <v>45464</v>
      </c>
      <c r="G777" t="s">
        <v>2107</v>
      </c>
      <c r="H777" t="s">
        <v>13</v>
      </c>
      <c r="I777" t="s">
        <v>2108</v>
      </c>
      <c r="J777" t="s">
        <v>30</v>
      </c>
    </row>
    <row r="778" spans="1:10" x14ac:dyDescent="0.25">
      <c r="A778">
        <v>1066</v>
      </c>
      <c r="B778" t="s">
        <v>2109</v>
      </c>
      <c r="C778">
        <v>74</v>
      </c>
      <c r="D778" t="s">
        <v>37</v>
      </c>
      <c r="E778">
        <v>45800</v>
      </c>
      <c r="F778">
        <v>45652</v>
      </c>
      <c r="G778" t="s">
        <v>2110</v>
      </c>
      <c r="H778" t="s">
        <v>18</v>
      </c>
      <c r="I778" t="s">
        <v>2111</v>
      </c>
      <c r="J778" t="s">
        <v>20</v>
      </c>
    </row>
    <row r="779" spans="1:10" x14ac:dyDescent="0.25">
      <c r="A779">
        <v>1018</v>
      </c>
      <c r="B779" t="s">
        <v>2112</v>
      </c>
      <c r="C779">
        <v>70</v>
      </c>
      <c r="D779" t="s">
        <v>11</v>
      </c>
      <c r="E779">
        <v>45778</v>
      </c>
      <c r="F779">
        <v>45552</v>
      </c>
      <c r="G779" t="s">
        <v>2113</v>
      </c>
      <c r="H779" t="s">
        <v>13</v>
      </c>
      <c r="I779" t="s">
        <v>2114</v>
      </c>
      <c r="J779">
        <v>1</v>
      </c>
    </row>
    <row r="780" spans="1:10" x14ac:dyDescent="0.25">
      <c r="A780">
        <v>1033</v>
      </c>
      <c r="B780" t="s">
        <v>2115</v>
      </c>
      <c r="C780">
        <v>75</v>
      </c>
      <c r="D780" t="s">
        <v>37</v>
      </c>
      <c r="E780">
        <v>46075</v>
      </c>
      <c r="F780">
        <v>45713</v>
      </c>
      <c r="G780" t="s">
        <v>2116</v>
      </c>
      <c r="H780" t="s">
        <v>28</v>
      </c>
      <c r="I780" t="s">
        <v>2117</v>
      </c>
      <c r="J780" t="s">
        <v>35</v>
      </c>
    </row>
    <row r="781" spans="1:10" x14ac:dyDescent="0.25">
      <c r="A781">
        <v>1094</v>
      </c>
      <c r="B781" t="s">
        <v>2118</v>
      </c>
      <c r="C781">
        <v>87</v>
      </c>
      <c r="D781" t="s">
        <v>68</v>
      </c>
      <c r="E781">
        <v>45952</v>
      </c>
      <c r="F781">
        <v>45716</v>
      </c>
      <c r="G781" t="s">
        <v>2119</v>
      </c>
      <c r="H781" t="s">
        <v>13</v>
      </c>
      <c r="I781" t="s">
        <v>2120</v>
      </c>
      <c r="J781">
        <v>1</v>
      </c>
    </row>
    <row r="782" spans="1:10" x14ac:dyDescent="0.25">
      <c r="A782">
        <v>1078</v>
      </c>
      <c r="B782" t="s">
        <v>2121</v>
      </c>
      <c r="C782">
        <v>52</v>
      </c>
      <c r="D782" t="s">
        <v>11</v>
      </c>
      <c r="E782">
        <v>45985</v>
      </c>
      <c r="F782">
        <v>45422</v>
      </c>
      <c r="G782" t="s">
        <v>2122</v>
      </c>
      <c r="H782" t="s">
        <v>13</v>
      </c>
      <c r="I782" t="s">
        <v>2123</v>
      </c>
      <c r="J782" t="s">
        <v>57</v>
      </c>
    </row>
    <row r="783" spans="1:10" x14ac:dyDescent="0.25">
      <c r="A783">
        <v>1072</v>
      </c>
      <c r="B783" t="s">
        <v>2124</v>
      </c>
      <c r="C783">
        <v>86</v>
      </c>
      <c r="D783" t="s">
        <v>11</v>
      </c>
      <c r="E783">
        <v>45842</v>
      </c>
      <c r="F783">
        <v>45676</v>
      </c>
      <c r="G783" t="s">
        <v>2125</v>
      </c>
      <c r="H783" t="s">
        <v>18</v>
      </c>
      <c r="I783">
        <v>74.84</v>
      </c>
      <c r="J783" t="s">
        <v>20</v>
      </c>
    </row>
    <row r="784" spans="1:10" x14ac:dyDescent="0.25">
      <c r="A784">
        <v>1011</v>
      </c>
      <c r="B784" t="s">
        <v>2126</v>
      </c>
      <c r="C784">
        <v>65</v>
      </c>
      <c r="D784" t="s">
        <v>11</v>
      </c>
      <c r="E784">
        <v>45923</v>
      </c>
      <c r="F784">
        <v>45383</v>
      </c>
      <c r="G784" t="s">
        <v>31</v>
      </c>
      <c r="H784" t="s">
        <v>18</v>
      </c>
      <c r="I784" t="s">
        <v>2127</v>
      </c>
      <c r="J784" t="s">
        <v>20</v>
      </c>
    </row>
    <row r="785" spans="1:10" x14ac:dyDescent="0.25">
      <c r="A785">
        <v>1045</v>
      </c>
      <c r="B785" t="s">
        <v>2128</v>
      </c>
      <c r="C785">
        <v>65</v>
      </c>
      <c r="D785">
        <v>1</v>
      </c>
      <c r="E785">
        <v>45744</v>
      </c>
      <c r="F785">
        <v>45661</v>
      </c>
      <c r="G785" t="s">
        <v>2129</v>
      </c>
      <c r="H785" t="s">
        <v>18</v>
      </c>
      <c r="I785" t="s">
        <v>2130</v>
      </c>
      <c r="J785" t="s">
        <v>30</v>
      </c>
    </row>
    <row r="786" spans="1:10" x14ac:dyDescent="0.25">
      <c r="A786">
        <v>1095</v>
      </c>
      <c r="B786" t="s">
        <v>162</v>
      </c>
      <c r="C786">
        <v>73</v>
      </c>
      <c r="D786" t="s">
        <v>49</v>
      </c>
      <c r="E786">
        <v>46022</v>
      </c>
      <c r="F786">
        <v>45640</v>
      </c>
      <c r="G786" t="s">
        <v>2131</v>
      </c>
      <c r="H786" t="s">
        <v>24</v>
      </c>
      <c r="I786" t="s">
        <v>2132</v>
      </c>
      <c r="J786" t="s">
        <v>35</v>
      </c>
    </row>
    <row r="787" spans="1:10" x14ac:dyDescent="0.25">
      <c r="A787">
        <v>1074</v>
      </c>
      <c r="B787" t="s">
        <v>2133</v>
      </c>
      <c r="C787">
        <v>64</v>
      </c>
      <c r="D787" t="s">
        <v>22</v>
      </c>
      <c r="E787">
        <v>46095</v>
      </c>
      <c r="F787">
        <v>46063</v>
      </c>
      <c r="G787" t="s">
        <v>2134</v>
      </c>
      <c r="H787" t="s">
        <v>24</v>
      </c>
      <c r="I787" t="s">
        <v>2135</v>
      </c>
      <c r="J787" t="s">
        <v>20</v>
      </c>
    </row>
    <row r="788" spans="1:10" x14ac:dyDescent="0.25">
      <c r="A788">
        <v>1080</v>
      </c>
      <c r="B788" t="s">
        <v>2136</v>
      </c>
      <c r="C788">
        <v>49</v>
      </c>
      <c r="D788" t="s">
        <v>49</v>
      </c>
      <c r="E788">
        <v>45960</v>
      </c>
      <c r="F788">
        <v>45820</v>
      </c>
      <c r="G788" t="s">
        <v>2137</v>
      </c>
      <c r="H788" t="s">
        <v>24</v>
      </c>
      <c r="I788" t="s">
        <v>2138</v>
      </c>
      <c r="J788" t="s">
        <v>57</v>
      </c>
    </row>
    <row r="789" spans="1:10" x14ac:dyDescent="0.25">
      <c r="A789">
        <v>1069</v>
      </c>
      <c r="B789" t="s">
        <v>2139</v>
      </c>
      <c r="C789">
        <v>48</v>
      </c>
      <c r="D789" t="s">
        <v>16</v>
      </c>
      <c r="E789">
        <v>45931</v>
      </c>
      <c r="F789">
        <v>45599</v>
      </c>
      <c r="G789" t="s">
        <v>2140</v>
      </c>
      <c r="H789" t="s">
        <v>13</v>
      </c>
      <c r="I789">
        <v>97.46</v>
      </c>
      <c r="J789" t="s">
        <v>30</v>
      </c>
    </row>
    <row r="790" spans="1:10" x14ac:dyDescent="0.25">
      <c r="A790">
        <v>1051</v>
      </c>
      <c r="B790" t="s">
        <v>2141</v>
      </c>
      <c r="C790">
        <v>63</v>
      </c>
      <c r="D790">
        <v>0</v>
      </c>
      <c r="E790">
        <v>46083</v>
      </c>
      <c r="F790">
        <v>45720</v>
      </c>
      <c r="G790" t="s">
        <v>2142</v>
      </c>
      <c r="H790" t="s">
        <v>28</v>
      </c>
      <c r="I790" t="s">
        <v>2143</v>
      </c>
      <c r="J790" t="s">
        <v>35</v>
      </c>
    </row>
    <row r="791" spans="1:10" x14ac:dyDescent="0.25">
      <c r="A791">
        <v>1092</v>
      </c>
      <c r="B791" t="s">
        <v>2144</v>
      </c>
      <c r="C791">
        <v>44</v>
      </c>
      <c r="D791">
        <v>0</v>
      </c>
      <c r="E791">
        <v>45992</v>
      </c>
      <c r="F791">
        <v>45504</v>
      </c>
      <c r="G791" t="s">
        <v>2145</v>
      </c>
      <c r="H791" t="s">
        <v>18</v>
      </c>
      <c r="I791">
        <v>203.3</v>
      </c>
      <c r="J791" t="s">
        <v>20</v>
      </c>
    </row>
    <row r="792" spans="1:10" x14ac:dyDescent="0.25">
      <c r="A792">
        <v>1093</v>
      </c>
      <c r="B792" t="s">
        <v>189</v>
      </c>
      <c r="C792">
        <v>23</v>
      </c>
      <c r="D792" t="s">
        <v>68</v>
      </c>
      <c r="E792">
        <v>45909</v>
      </c>
      <c r="F792">
        <v>45621</v>
      </c>
      <c r="G792" t="s">
        <v>2146</v>
      </c>
      <c r="H792" t="s">
        <v>28</v>
      </c>
      <c r="I792">
        <v>139.43</v>
      </c>
      <c r="J792">
        <v>0</v>
      </c>
    </row>
    <row r="793" spans="1:10" x14ac:dyDescent="0.25">
      <c r="A793">
        <v>1075</v>
      </c>
      <c r="B793" t="s">
        <v>2147</v>
      </c>
      <c r="C793">
        <v>48</v>
      </c>
      <c r="D793">
        <v>0</v>
      </c>
      <c r="E793">
        <v>45828</v>
      </c>
      <c r="F793">
        <v>45540</v>
      </c>
      <c r="G793" t="s">
        <v>2148</v>
      </c>
      <c r="H793" t="s">
        <v>28</v>
      </c>
      <c r="J793">
        <v>1</v>
      </c>
    </row>
    <row r="794" spans="1:10" x14ac:dyDescent="0.25">
      <c r="A794">
        <v>1055</v>
      </c>
      <c r="B794" t="s">
        <v>2149</v>
      </c>
      <c r="C794">
        <v>71</v>
      </c>
      <c r="D794" t="s">
        <v>68</v>
      </c>
      <c r="E794">
        <v>45794</v>
      </c>
      <c r="F794">
        <v>45501</v>
      </c>
      <c r="G794" t="s">
        <v>2150</v>
      </c>
      <c r="H794" t="s">
        <v>18</v>
      </c>
      <c r="I794">
        <v>74.36</v>
      </c>
      <c r="J794" t="s">
        <v>20</v>
      </c>
    </row>
    <row r="795" spans="1:10" x14ac:dyDescent="0.25">
      <c r="A795">
        <v>1033</v>
      </c>
      <c r="B795" t="s">
        <v>2151</v>
      </c>
      <c r="C795">
        <v>74</v>
      </c>
      <c r="D795">
        <v>0</v>
      </c>
      <c r="E795">
        <v>45886</v>
      </c>
      <c r="F795">
        <v>45586</v>
      </c>
      <c r="G795" t="s">
        <v>2152</v>
      </c>
      <c r="H795" t="s">
        <v>28</v>
      </c>
      <c r="I795" t="s">
        <v>2153</v>
      </c>
      <c r="J795">
        <v>0</v>
      </c>
    </row>
    <row r="796" spans="1:10" x14ac:dyDescent="0.25">
      <c r="A796">
        <v>1074</v>
      </c>
      <c r="B796" t="s">
        <v>2154</v>
      </c>
      <c r="C796">
        <v>48</v>
      </c>
      <c r="D796">
        <v>0</v>
      </c>
      <c r="E796">
        <v>45755</v>
      </c>
      <c r="F796">
        <v>45691</v>
      </c>
      <c r="G796" t="s">
        <v>2155</v>
      </c>
      <c r="H796" t="s">
        <v>13</v>
      </c>
      <c r="I796">
        <v>77.48</v>
      </c>
      <c r="J796">
        <v>0</v>
      </c>
    </row>
    <row r="797" spans="1:10" x14ac:dyDescent="0.25">
      <c r="A797">
        <v>1039</v>
      </c>
      <c r="B797" t="s">
        <v>2156</v>
      </c>
      <c r="C797">
        <v>58</v>
      </c>
      <c r="D797" t="s">
        <v>68</v>
      </c>
      <c r="E797">
        <v>45753</v>
      </c>
      <c r="F797">
        <v>45509</v>
      </c>
      <c r="G797" t="s">
        <v>2157</v>
      </c>
      <c r="H797" t="s">
        <v>24</v>
      </c>
      <c r="I797" t="s">
        <v>2158</v>
      </c>
      <c r="J797">
        <v>1</v>
      </c>
    </row>
    <row r="798" spans="1:10" x14ac:dyDescent="0.25">
      <c r="A798">
        <v>1050</v>
      </c>
      <c r="B798" t="s">
        <v>2159</v>
      </c>
      <c r="C798">
        <v>46</v>
      </c>
      <c r="D798" t="s">
        <v>37</v>
      </c>
      <c r="E798">
        <v>45763</v>
      </c>
      <c r="F798">
        <v>45589</v>
      </c>
      <c r="G798" t="s">
        <v>2160</v>
      </c>
      <c r="H798" t="s">
        <v>13</v>
      </c>
      <c r="J798">
        <v>0</v>
      </c>
    </row>
    <row r="799" spans="1:10" x14ac:dyDescent="0.25">
      <c r="A799">
        <v>1056</v>
      </c>
      <c r="B799" t="s">
        <v>2161</v>
      </c>
      <c r="C799">
        <v>71</v>
      </c>
      <c r="D799" t="s">
        <v>37</v>
      </c>
      <c r="E799">
        <v>45984</v>
      </c>
      <c r="F799">
        <v>45885</v>
      </c>
      <c r="G799" t="s">
        <v>2162</v>
      </c>
      <c r="H799" t="s">
        <v>28</v>
      </c>
      <c r="I799" t="s">
        <v>2163</v>
      </c>
      <c r="J799">
        <v>0</v>
      </c>
    </row>
    <row r="800" spans="1:10" x14ac:dyDescent="0.25">
      <c r="A800">
        <v>1025</v>
      </c>
      <c r="B800" t="s">
        <v>2164</v>
      </c>
      <c r="C800">
        <v>28</v>
      </c>
      <c r="D800">
        <v>1</v>
      </c>
      <c r="E800">
        <v>45956</v>
      </c>
      <c r="F800">
        <v>45710</v>
      </c>
      <c r="G800" t="s">
        <v>2165</v>
      </c>
      <c r="H800" t="s">
        <v>18</v>
      </c>
      <c r="I800" t="s">
        <v>2166</v>
      </c>
      <c r="J800" t="s">
        <v>35</v>
      </c>
    </row>
    <row r="801" spans="1:10" x14ac:dyDescent="0.25">
      <c r="A801">
        <v>1037</v>
      </c>
      <c r="B801" t="s">
        <v>2167</v>
      </c>
      <c r="C801">
        <v>39</v>
      </c>
      <c r="D801" t="s">
        <v>22</v>
      </c>
      <c r="E801">
        <v>45986</v>
      </c>
      <c r="F801">
        <v>45864</v>
      </c>
      <c r="G801" t="s">
        <v>2168</v>
      </c>
      <c r="H801" t="s">
        <v>28</v>
      </c>
      <c r="I801" t="s">
        <v>2169</v>
      </c>
      <c r="J801" t="s">
        <v>20</v>
      </c>
    </row>
    <row r="802" spans="1:10" x14ac:dyDescent="0.25">
      <c r="A802">
        <v>1010</v>
      </c>
      <c r="B802" t="s">
        <v>2170</v>
      </c>
      <c r="C802">
        <v>71</v>
      </c>
      <c r="D802" t="s">
        <v>37</v>
      </c>
      <c r="E802">
        <v>45838</v>
      </c>
      <c r="F802">
        <v>45517</v>
      </c>
      <c r="G802" t="s">
        <v>2171</v>
      </c>
      <c r="H802" t="s">
        <v>18</v>
      </c>
      <c r="I802" t="s">
        <v>2172</v>
      </c>
      <c r="J802" t="s">
        <v>20</v>
      </c>
    </row>
    <row r="803" spans="1:10" x14ac:dyDescent="0.25">
      <c r="A803">
        <v>1039</v>
      </c>
      <c r="B803" t="s">
        <v>2173</v>
      </c>
      <c r="C803">
        <v>46</v>
      </c>
      <c r="D803" t="s">
        <v>16</v>
      </c>
      <c r="E803">
        <v>45867</v>
      </c>
      <c r="F803">
        <v>45669</v>
      </c>
      <c r="G803" t="s">
        <v>2174</v>
      </c>
      <c r="H803" t="s">
        <v>13</v>
      </c>
      <c r="I803" t="s">
        <v>2175</v>
      </c>
      <c r="J803">
        <v>1</v>
      </c>
    </row>
    <row r="804" spans="1:10" x14ac:dyDescent="0.25">
      <c r="A804">
        <v>1040</v>
      </c>
      <c r="B804" t="s">
        <v>2176</v>
      </c>
      <c r="C804">
        <v>62</v>
      </c>
      <c r="D804" t="s">
        <v>49</v>
      </c>
      <c r="E804">
        <v>46043</v>
      </c>
      <c r="F804">
        <v>45639</v>
      </c>
      <c r="G804" t="s">
        <v>2177</v>
      </c>
      <c r="H804" t="s">
        <v>24</v>
      </c>
      <c r="I804">
        <v>290.14</v>
      </c>
      <c r="J804" t="s">
        <v>35</v>
      </c>
    </row>
    <row r="805" spans="1:10" x14ac:dyDescent="0.25">
      <c r="A805">
        <v>1100</v>
      </c>
      <c r="B805" t="s">
        <v>2178</v>
      </c>
      <c r="C805">
        <v>52</v>
      </c>
      <c r="D805" t="s">
        <v>37</v>
      </c>
      <c r="E805">
        <v>45967</v>
      </c>
      <c r="F805">
        <v>45556</v>
      </c>
      <c r="G805" t="s">
        <v>2179</v>
      </c>
      <c r="H805" t="s">
        <v>24</v>
      </c>
      <c r="I805" t="s">
        <v>2180</v>
      </c>
      <c r="J805">
        <v>1</v>
      </c>
    </row>
    <row r="806" spans="1:10" x14ac:dyDescent="0.25">
      <c r="A806">
        <v>1071</v>
      </c>
      <c r="B806" t="s">
        <v>2181</v>
      </c>
      <c r="C806">
        <v>41</v>
      </c>
      <c r="D806" t="s">
        <v>11</v>
      </c>
      <c r="E806">
        <v>46083</v>
      </c>
      <c r="F806">
        <v>45927</v>
      </c>
      <c r="G806" t="s">
        <v>2182</v>
      </c>
      <c r="H806" t="s">
        <v>28</v>
      </c>
      <c r="I806" t="s">
        <v>2183</v>
      </c>
      <c r="J806" t="s">
        <v>57</v>
      </c>
    </row>
    <row r="807" spans="1:10" x14ac:dyDescent="0.25">
      <c r="A807">
        <v>1097</v>
      </c>
      <c r="B807" t="s">
        <v>2184</v>
      </c>
      <c r="C807">
        <v>88</v>
      </c>
      <c r="D807" t="s">
        <v>16</v>
      </c>
      <c r="E807">
        <v>46018</v>
      </c>
      <c r="F807">
        <v>45651</v>
      </c>
      <c r="G807" t="s">
        <v>2185</v>
      </c>
      <c r="H807" t="s">
        <v>28</v>
      </c>
      <c r="I807">
        <v>398.47</v>
      </c>
      <c r="J807" t="s">
        <v>20</v>
      </c>
    </row>
    <row r="808" spans="1:10" x14ac:dyDescent="0.25">
      <c r="A808">
        <v>1047</v>
      </c>
      <c r="B808" t="s">
        <v>2186</v>
      </c>
      <c r="C808">
        <v>51</v>
      </c>
      <c r="D808">
        <v>1</v>
      </c>
      <c r="E808">
        <v>45962</v>
      </c>
      <c r="F808">
        <v>45928</v>
      </c>
      <c r="G808" t="s">
        <v>2187</v>
      </c>
      <c r="H808" t="s">
        <v>24</v>
      </c>
      <c r="I808" t="s">
        <v>2188</v>
      </c>
      <c r="J808">
        <v>1</v>
      </c>
    </row>
    <row r="809" spans="1:10" x14ac:dyDescent="0.25">
      <c r="A809">
        <v>1041</v>
      </c>
      <c r="B809" t="s">
        <v>2189</v>
      </c>
      <c r="C809">
        <v>70</v>
      </c>
      <c r="D809">
        <v>1</v>
      </c>
      <c r="E809">
        <v>45864</v>
      </c>
      <c r="F809">
        <v>45537</v>
      </c>
      <c r="G809" t="s">
        <v>2190</v>
      </c>
      <c r="H809" t="s">
        <v>24</v>
      </c>
      <c r="J809">
        <v>0</v>
      </c>
    </row>
    <row r="810" spans="1:10" x14ac:dyDescent="0.25">
      <c r="A810">
        <v>1067</v>
      </c>
      <c r="B810" t="s">
        <v>2191</v>
      </c>
      <c r="C810">
        <v>57</v>
      </c>
      <c r="D810" t="s">
        <v>11</v>
      </c>
      <c r="E810">
        <v>46013</v>
      </c>
      <c r="F810">
        <v>45663</v>
      </c>
      <c r="G810" t="s">
        <v>561</v>
      </c>
      <c r="H810" t="s">
        <v>24</v>
      </c>
      <c r="I810">
        <v>142.33000000000001</v>
      </c>
      <c r="J810" t="s">
        <v>57</v>
      </c>
    </row>
    <row r="811" spans="1:10" x14ac:dyDescent="0.25">
      <c r="A811">
        <v>1064</v>
      </c>
      <c r="B811" t="s">
        <v>2192</v>
      </c>
      <c r="C811">
        <v>57</v>
      </c>
      <c r="D811" t="s">
        <v>49</v>
      </c>
      <c r="E811">
        <v>45907</v>
      </c>
      <c r="F811">
        <v>45569</v>
      </c>
      <c r="G811" t="s">
        <v>2193</v>
      </c>
      <c r="H811" t="s">
        <v>28</v>
      </c>
      <c r="I811" t="s">
        <v>2194</v>
      </c>
      <c r="J811">
        <v>0</v>
      </c>
    </row>
    <row r="812" spans="1:10" x14ac:dyDescent="0.25">
      <c r="A812">
        <v>1008</v>
      </c>
      <c r="B812" t="s">
        <v>2195</v>
      </c>
      <c r="C812">
        <v>22</v>
      </c>
      <c r="D812" t="s">
        <v>11</v>
      </c>
      <c r="E812">
        <v>45912</v>
      </c>
      <c r="F812">
        <v>45555</v>
      </c>
      <c r="G812" t="s">
        <v>2196</v>
      </c>
      <c r="H812" t="s">
        <v>28</v>
      </c>
      <c r="I812" t="s">
        <v>2197</v>
      </c>
      <c r="J812">
        <v>1</v>
      </c>
    </row>
    <row r="813" spans="1:10" x14ac:dyDescent="0.25">
      <c r="A813">
        <v>1097</v>
      </c>
      <c r="B813" t="s">
        <v>2198</v>
      </c>
      <c r="C813">
        <v>42</v>
      </c>
      <c r="D813" t="s">
        <v>37</v>
      </c>
      <c r="E813">
        <v>46054</v>
      </c>
      <c r="F813">
        <v>46022</v>
      </c>
      <c r="G813" t="s">
        <v>2199</v>
      </c>
      <c r="H813" t="s">
        <v>24</v>
      </c>
      <c r="I813" t="s">
        <v>2200</v>
      </c>
      <c r="J813" t="s">
        <v>30</v>
      </c>
    </row>
    <row r="814" spans="1:10" x14ac:dyDescent="0.25">
      <c r="A814">
        <v>1053</v>
      </c>
      <c r="B814" t="s">
        <v>2201</v>
      </c>
      <c r="C814">
        <v>39</v>
      </c>
      <c r="D814">
        <v>1</v>
      </c>
      <c r="E814">
        <v>46037</v>
      </c>
      <c r="F814">
        <v>45972</v>
      </c>
      <c r="G814" t="s">
        <v>2202</v>
      </c>
      <c r="H814" t="s">
        <v>28</v>
      </c>
      <c r="I814">
        <v>295.70999999999998</v>
      </c>
      <c r="J814" t="s">
        <v>57</v>
      </c>
    </row>
    <row r="815" spans="1:10" x14ac:dyDescent="0.25">
      <c r="A815">
        <v>1035</v>
      </c>
      <c r="B815" t="s">
        <v>2203</v>
      </c>
      <c r="C815">
        <v>46</v>
      </c>
      <c r="D815" t="s">
        <v>16</v>
      </c>
      <c r="E815">
        <v>45882</v>
      </c>
      <c r="F815">
        <v>45802</v>
      </c>
      <c r="G815" t="s">
        <v>2204</v>
      </c>
      <c r="H815" t="s">
        <v>13</v>
      </c>
      <c r="I815" t="s">
        <v>2205</v>
      </c>
      <c r="J815">
        <v>1</v>
      </c>
    </row>
    <row r="816" spans="1:10" x14ac:dyDescent="0.25">
      <c r="A816">
        <v>1074</v>
      </c>
      <c r="B816" t="s">
        <v>2206</v>
      </c>
      <c r="C816">
        <v>87</v>
      </c>
      <c r="E816">
        <v>45796</v>
      </c>
      <c r="F816">
        <v>45455</v>
      </c>
      <c r="G816" t="s">
        <v>2207</v>
      </c>
      <c r="H816" t="s">
        <v>28</v>
      </c>
      <c r="I816" t="s">
        <v>2208</v>
      </c>
      <c r="J816" t="s">
        <v>20</v>
      </c>
    </row>
    <row r="817" spans="1:10" x14ac:dyDescent="0.25">
      <c r="A817">
        <v>1015</v>
      </c>
      <c r="B817" t="s">
        <v>2209</v>
      </c>
      <c r="C817">
        <v>21</v>
      </c>
      <c r="D817" t="s">
        <v>11</v>
      </c>
      <c r="E817">
        <v>45842</v>
      </c>
      <c r="F817">
        <v>45695</v>
      </c>
      <c r="G817" t="s">
        <v>1438</v>
      </c>
      <c r="H817" t="s">
        <v>13</v>
      </c>
      <c r="I817">
        <v>168.33</v>
      </c>
      <c r="J817" t="s">
        <v>57</v>
      </c>
    </row>
    <row r="818" spans="1:10" x14ac:dyDescent="0.25">
      <c r="A818">
        <v>1071</v>
      </c>
      <c r="B818" t="s">
        <v>2210</v>
      </c>
      <c r="C818">
        <v>88</v>
      </c>
      <c r="D818" t="s">
        <v>16</v>
      </c>
      <c r="E818">
        <v>45961</v>
      </c>
      <c r="F818">
        <v>45831</v>
      </c>
      <c r="G818" t="s">
        <v>2211</v>
      </c>
      <c r="H818" t="s">
        <v>13</v>
      </c>
      <c r="I818" t="s">
        <v>2212</v>
      </c>
      <c r="J818" t="s">
        <v>35</v>
      </c>
    </row>
    <row r="819" spans="1:10" x14ac:dyDescent="0.25">
      <c r="A819">
        <v>1044</v>
      </c>
      <c r="B819" t="s">
        <v>2213</v>
      </c>
      <c r="C819">
        <v>83</v>
      </c>
      <c r="D819">
        <v>1</v>
      </c>
      <c r="E819">
        <v>45824</v>
      </c>
      <c r="F819">
        <v>45723</v>
      </c>
      <c r="G819" t="s">
        <v>623</v>
      </c>
      <c r="H819" t="s">
        <v>13</v>
      </c>
      <c r="J819" t="s">
        <v>30</v>
      </c>
    </row>
    <row r="820" spans="1:10" x14ac:dyDescent="0.25">
      <c r="A820">
        <v>1038</v>
      </c>
      <c r="B820" t="s">
        <v>2214</v>
      </c>
      <c r="C820">
        <v>29</v>
      </c>
      <c r="D820" t="s">
        <v>16</v>
      </c>
      <c r="E820">
        <v>46073</v>
      </c>
      <c r="F820">
        <v>45526</v>
      </c>
      <c r="G820" t="s">
        <v>2215</v>
      </c>
      <c r="H820" t="s">
        <v>24</v>
      </c>
      <c r="I820" t="s">
        <v>2216</v>
      </c>
      <c r="J820">
        <v>0</v>
      </c>
    </row>
    <row r="821" spans="1:10" x14ac:dyDescent="0.25">
      <c r="A821">
        <v>1001</v>
      </c>
      <c r="B821" t="s">
        <v>2217</v>
      </c>
      <c r="C821">
        <v>30</v>
      </c>
      <c r="D821" t="s">
        <v>68</v>
      </c>
      <c r="E821">
        <v>45807</v>
      </c>
      <c r="F821">
        <v>45631</v>
      </c>
      <c r="G821" t="s">
        <v>2218</v>
      </c>
      <c r="H821" t="s">
        <v>24</v>
      </c>
      <c r="J821" t="s">
        <v>35</v>
      </c>
    </row>
    <row r="822" spans="1:10" x14ac:dyDescent="0.25">
      <c r="A822">
        <v>1056</v>
      </c>
      <c r="B822" t="s">
        <v>2219</v>
      </c>
      <c r="C822">
        <v>33</v>
      </c>
      <c r="E822">
        <v>45946</v>
      </c>
      <c r="F822">
        <v>45548</v>
      </c>
      <c r="G822" t="s">
        <v>2220</v>
      </c>
      <c r="H822" t="s">
        <v>18</v>
      </c>
      <c r="I822" t="s">
        <v>2221</v>
      </c>
      <c r="J822" t="s">
        <v>30</v>
      </c>
    </row>
    <row r="823" spans="1:10" x14ac:dyDescent="0.25">
      <c r="A823">
        <v>1008</v>
      </c>
      <c r="B823" t="s">
        <v>2222</v>
      </c>
      <c r="C823">
        <v>71</v>
      </c>
      <c r="E823">
        <v>45906</v>
      </c>
      <c r="F823">
        <v>45433</v>
      </c>
      <c r="G823" t="s">
        <v>2223</v>
      </c>
      <c r="H823" t="s">
        <v>24</v>
      </c>
      <c r="I823" t="s">
        <v>2224</v>
      </c>
      <c r="J823">
        <v>0</v>
      </c>
    </row>
    <row r="824" spans="1:10" x14ac:dyDescent="0.25">
      <c r="A824">
        <v>1099</v>
      </c>
      <c r="B824" t="s">
        <v>2225</v>
      </c>
      <c r="C824">
        <v>74</v>
      </c>
      <c r="D824" t="s">
        <v>68</v>
      </c>
      <c r="E824">
        <v>45786</v>
      </c>
      <c r="F824">
        <v>45608</v>
      </c>
      <c r="G824" t="s">
        <v>2226</v>
      </c>
      <c r="H824" t="s">
        <v>13</v>
      </c>
      <c r="I824">
        <v>488.54</v>
      </c>
      <c r="J824" t="s">
        <v>57</v>
      </c>
    </row>
    <row r="825" spans="1:10" x14ac:dyDescent="0.25">
      <c r="A825">
        <v>1060</v>
      </c>
      <c r="B825" t="s">
        <v>2227</v>
      </c>
      <c r="C825">
        <v>26</v>
      </c>
      <c r="D825" t="s">
        <v>68</v>
      </c>
      <c r="E825">
        <v>45947</v>
      </c>
      <c r="F825">
        <v>45638</v>
      </c>
      <c r="G825" t="s">
        <v>2228</v>
      </c>
      <c r="H825" t="s">
        <v>18</v>
      </c>
      <c r="I825" t="s">
        <v>2229</v>
      </c>
      <c r="J825" t="s">
        <v>30</v>
      </c>
    </row>
    <row r="826" spans="1:10" x14ac:dyDescent="0.25">
      <c r="A826">
        <v>1080</v>
      </c>
      <c r="B826" t="s">
        <v>2230</v>
      </c>
      <c r="C826">
        <v>18</v>
      </c>
      <c r="D826" t="s">
        <v>68</v>
      </c>
      <c r="E826">
        <v>45812</v>
      </c>
      <c r="F826">
        <v>45640</v>
      </c>
      <c r="G826" t="s">
        <v>2231</v>
      </c>
      <c r="H826" t="s">
        <v>24</v>
      </c>
      <c r="I826" t="s">
        <v>2232</v>
      </c>
      <c r="J826" t="s">
        <v>30</v>
      </c>
    </row>
    <row r="827" spans="1:10" x14ac:dyDescent="0.25">
      <c r="A827">
        <v>1056</v>
      </c>
      <c r="B827" t="s">
        <v>2233</v>
      </c>
      <c r="C827">
        <v>26</v>
      </c>
      <c r="D827">
        <v>0</v>
      </c>
      <c r="E827">
        <v>45987</v>
      </c>
      <c r="F827">
        <v>45764</v>
      </c>
      <c r="G827" t="s">
        <v>2234</v>
      </c>
      <c r="H827" t="s">
        <v>24</v>
      </c>
      <c r="I827">
        <v>340.47</v>
      </c>
      <c r="J827" t="s">
        <v>30</v>
      </c>
    </row>
    <row r="828" spans="1:10" x14ac:dyDescent="0.25">
      <c r="A828">
        <v>1077</v>
      </c>
      <c r="B828" t="s">
        <v>2235</v>
      </c>
      <c r="C828">
        <v>78</v>
      </c>
      <c r="D828" t="s">
        <v>49</v>
      </c>
      <c r="E828">
        <v>46031</v>
      </c>
      <c r="F828">
        <v>45784</v>
      </c>
      <c r="G828" t="s">
        <v>2236</v>
      </c>
      <c r="H828" t="s">
        <v>13</v>
      </c>
      <c r="I828" t="s">
        <v>2237</v>
      </c>
      <c r="J828">
        <v>0</v>
      </c>
    </row>
    <row r="829" spans="1:10" x14ac:dyDescent="0.25">
      <c r="A829">
        <v>1036</v>
      </c>
      <c r="B829" t="s">
        <v>2238</v>
      </c>
      <c r="C829">
        <v>25</v>
      </c>
      <c r="D829" t="s">
        <v>68</v>
      </c>
      <c r="E829">
        <v>45822</v>
      </c>
      <c r="F829">
        <v>45409</v>
      </c>
      <c r="G829" t="s">
        <v>2239</v>
      </c>
      <c r="H829" t="s">
        <v>24</v>
      </c>
      <c r="I829" t="s">
        <v>2240</v>
      </c>
      <c r="J829" t="s">
        <v>35</v>
      </c>
    </row>
    <row r="830" spans="1:10" x14ac:dyDescent="0.25">
      <c r="A830">
        <v>1050</v>
      </c>
      <c r="B830" t="s">
        <v>672</v>
      </c>
      <c r="C830">
        <v>41</v>
      </c>
      <c r="D830" t="s">
        <v>11</v>
      </c>
      <c r="E830">
        <v>46060</v>
      </c>
      <c r="F830">
        <v>45804</v>
      </c>
      <c r="G830" t="s">
        <v>2241</v>
      </c>
      <c r="H830" t="s">
        <v>18</v>
      </c>
      <c r="I830" t="s">
        <v>2242</v>
      </c>
      <c r="J830" t="s">
        <v>35</v>
      </c>
    </row>
    <row r="831" spans="1:10" x14ac:dyDescent="0.25">
      <c r="A831">
        <v>1003</v>
      </c>
      <c r="B831" t="s">
        <v>2243</v>
      </c>
      <c r="C831">
        <v>85</v>
      </c>
      <c r="D831" t="s">
        <v>11</v>
      </c>
      <c r="E831">
        <v>45868</v>
      </c>
      <c r="F831">
        <v>45579</v>
      </c>
      <c r="G831" t="s">
        <v>2244</v>
      </c>
      <c r="H831" t="s">
        <v>13</v>
      </c>
      <c r="I831">
        <v>101.59</v>
      </c>
      <c r="J831">
        <v>1</v>
      </c>
    </row>
    <row r="832" spans="1:10" x14ac:dyDescent="0.25">
      <c r="A832">
        <v>1042</v>
      </c>
      <c r="B832" t="s">
        <v>2245</v>
      </c>
      <c r="C832">
        <v>60</v>
      </c>
      <c r="D832" t="s">
        <v>11</v>
      </c>
      <c r="E832">
        <v>45744</v>
      </c>
      <c r="F832">
        <v>45610</v>
      </c>
      <c r="G832" t="s">
        <v>2246</v>
      </c>
      <c r="H832" t="s">
        <v>18</v>
      </c>
      <c r="I832">
        <v>498.48</v>
      </c>
      <c r="J832" t="s">
        <v>35</v>
      </c>
    </row>
    <row r="833" spans="1:10" x14ac:dyDescent="0.25">
      <c r="A833">
        <v>1019</v>
      </c>
      <c r="B833" t="s">
        <v>2247</v>
      </c>
      <c r="C833">
        <v>34</v>
      </c>
      <c r="D833" t="s">
        <v>37</v>
      </c>
      <c r="E833">
        <v>46081</v>
      </c>
      <c r="F833">
        <v>45869</v>
      </c>
      <c r="G833" t="s">
        <v>2248</v>
      </c>
      <c r="H833" t="s">
        <v>28</v>
      </c>
      <c r="I833">
        <v>305.83999999999997</v>
      </c>
      <c r="J833" t="s">
        <v>35</v>
      </c>
    </row>
    <row r="834" spans="1:10" x14ac:dyDescent="0.25">
      <c r="A834">
        <v>1073</v>
      </c>
      <c r="B834" t="s">
        <v>2249</v>
      </c>
      <c r="C834">
        <v>32</v>
      </c>
      <c r="D834" t="s">
        <v>16</v>
      </c>
      <c r="E834">
        <v>46044</v>
      </c>
      <c r="F834">
        <v>45625</v>
      </c>
      <c r="G834" t="s">
        <v>2250</v>
      </c>
      <c r="H834" t="s">
        <v>13</v>
      </c>
      <c r="I834" t="s">
        <v>2251</v>
      </c>
      <c r="J834" t="s">
        <v>20</v>
      </c>
    </row>
    <row r="835" spans="1:10" x14ac:dyDescent="0.25">
      <c r="A835">
        <v>1027</v>
      </c>
      <c r="B835" t="s">
        <v>2252</v>
      </c>
      <c r="C835">
        <v>54</v>
      </c>
      <c r="D835" t="s">
        <v>16</v>
      </c>
      <c r="E835">
        <v>46001</v>
      </c>
      <c r="F835">
        <v>45724</v>
      </c>
      <c r="G835" t="s">
        <v>2253</v>
      </c>
      <c r="H835" t="s">
        <v>18</v>
      </c>
      <c r="I835">
        <v>406.61</v>
      </c>
      <c r="J835" t="s">
        <v>20</v>
      </c>
    </row>
    <row r="836" spans="1:10" x14ac:dyDescent="0.25">
      <c r="A836">
        <v>1004</v>
      </c>
      <c r="B836" t="s">
        <v>2254</v>
      </c>
      <c r="C836">
        <v>47</v>
      </c>
      <c r="D836" t="s">
        <v>37</v>
      </c>
      <c r="E836">
        <v>45986</v>
      </c>
      <c r="F836">
        <v>45571</v>
      </c>
      <c r="G836" t="s">
        <v>2255</v>
      </c>
      <c r="H836" t="s">
        <v>13</v>
      </c>
      <c r="I836" t="s">
        <v>2256</v>
      </c>
      <c r="J836">
        <v>0</v>
      </c>
    </row>
    <row r="837" spans="1:10" x14ac:dyDescent="0.25">
      <c r="A837">
        <v>1077</v>
      </c>
      <c r="B837" t="s">
        <v>2257</v>
      </c>
      <c r="C837">
        <v>21</v>
      </c>
      <c r="D837" t="s">
        <v>16</v>
      </c>
      <c r="E837">
        <v>45886</v>
      </c>
      <c r="F837">
        <v>45475</v>
      </c>
      <c r="G837" t="s">
        <v>2258</v>
      </c>
      <c r="H837" t="s">
        <v>18</v>
      </c>
      <c r="I837">
        <v>315.17</v>
      </c>
      <c r="J837" t="s">
        <v>30</v>
      </c>
    </row>
    <row r="838" spans="1:10" x14ac:dyDescent="0.25">
      <c r="A838">
        <v>1085</v>
      </c>
      <c r="B838" t="s">
        <v>2259</v>
      </c>
      <c r="C838">
        <v>85</v>
      </c>
      <c r="D838" t="s">
        <v>37</v>
      </c>
      <c r="E838">
        <v>45906</v>
      </c>
      <c r="F838">
        <v>45715</v>
      </c>
      <c r="G838" t="s">
        <v>2260</v>
      </c>
      <c r="H838" t="s">
        <v>24</v>
      </c>
      <c r="I838" t="s">
        <v>2261</v>
      </c>
      <c r="J838" t="s">
        <v>20</v>
      </c>
    </row>
    <row r="839" spans="1:10" x14ac:dyDescent="0.25">
      <c r="A839">
        <v>1025</v>
      </c>
      <c r="B839" t="s">
        <v>2262</v>
      </c>
      <c r="C839">
        <v>42</v>
      </c>
      <c r="E839">
        <v>45921</v>
      </c>
      <c r="F839">
        <v>45631</v>
      </c>
      <c r="G839" t="s">
        <v>2263</v>
      </c>
      <c r="H839" t="s">
        <v>18</v>
      </c>
      <c r="I839" t="s">
        <v>2264</v>
      </c>
      <c r="J839" t="s">
        <v>30</v>
      </c>
    </row>
    <row r="840" spans="1:10" x14ac:dyDescent="0.25">
      <c r="A840">
        <v>1029</v>
      </c>
      <c r="B840" t="s">
        <v>2265</v>
      </c>
      <c r="C840">
        <v>63</v>
      </c>
      <c r="D840">
        <v>1</v>
      </c>
      <c r="E840">
        <v>45882</v>
      </c>
      <c r="F840">
        <v>45538</v>
      </c>
      <c r="G840" t="s">
        <v>2266</v>
      </c>
      <c r="H840" t="s">
        <v>18</v>
      </c>
      <c r="I840" t="s">
        <v>2267</v>
      </c>
      <c r="J840" t="s">
        <v>30</v>
      </c>
    </row>
    <row r="841" spans="1:10" x14ac:dyDescent="0.25">
      <c r="A841">
        <v>1052</v>
      </c>
      <c r="B841" t="s">
        <v>2268</v>
      </c>
      <c r="C841">
        <v>26</v>
      </c>
      <c r="D841">
        <v>0</v>
      </c>
      <c r="E841">
        <v>45961</v>
      </c>
      <c r="F841">
        <v>45738</v>
      </c>
      <c r="G841" t="s">
        <v>2269</v>
      </c>
      <c r="H841" t="s">
        <v>24</v>
      </c>
      <c r="I841">
        <v>461.18</v>
      </c>
      <c r="J841" t="s">
        <v>20</v>
      </c>
    </row>
    <row r="842" spans="1:10" x14ac:dyDescent="0.25">
      <c r="A842">
        <v>1062</v>
      </c>
      <c r="B842" t="s">
        <v>2270</v>
      </c>
      <c r="C842">
        <v>85</v>
      </c>
      <c r="D842" t="s">
        <v>11</v>
      </c>
      <c r="E842">
        <v>46057</v>
      </c>
      <c r="F842">
        <v>45648</v>
      </c>
      <c r="G842" t="s">
        <v>2271</v>
      </c>
      <c r="H842" t="s">
        <v>13</v>
      </c>
      <c r="I842" t="s">
        <v>2272</v>
      </c>
      <c r="J842">
        <v>1</v>
      </c>
    </row>
    <row r="843" spans="1:10" x14ac:dyDescent="0.25">
      <c r="A843">
        <v>1014</v>
      </c>
      <c r="B843" t="s">
        <v>2273</v>
      </c>
      <c r="C843">
        <v>29</v>
      </c>
      <c r="D843" t="s">
        <v>11</v>
      </c>
      <c r="E843">
        <v>45903</v>
      </c>
      <c r="F843">
        <v>45500</v>
      </c>
      <c r="G843" t="s">
        <v>2274</v>
      </c>
      <c r="H843" t="s">
        <v>28</v>
      </c>
      <c r="I843" t="s">
        <v>2275</v>
      </c>
      <c r="J843" t="s">
        <v>57</v>
      </c>
    </row>
    <row r="844" spans="1:10" x14ac:dyDescent="0.25">
      <c r="A844">
        <v>1056</v>
      </c>
      <c r="B844" t="s">
        <v>2276</v>
      </c>
      <c r="C844">
        <v>84</v>
      </c>
      <c r="D844" t="s">
        <v>11</v>
      </c>
      <c r="E844">
        <v>45803</v>
      </c>
      <c r="F844">
        <v>45596</v>
      </c>
      <c r="G844" t="s">
        <v>2277</v>
      </c>
      <c r="H844" t="s">
        <v>13</v>
      </c>
      <c r="I844">
        <v>385.01</v>
      </c>
      <c r="J844" t="s">
        <v>30</v>
      </c>
    </row>
    <row r="845" spans="1:10" x14ac:dyDescent="0.25">
      <c r="A845">
        <v>1073</v>
      </c>
      <c r="B845" t="s">
        <v>2278</v>
      </c>
      <c r="C845">
        <v>18</v>
      </c>
      <c r="D845" t="s">
        <v>37</v>
      </c>
      <c r="E845">
        <v>45886</v>
      </c>
      <c r="F845">
        <v>45833</v>
      </c>
      <c r="G845" t="s">
        <v>2279</v>
      </c>
      <c r="H845" t="s">
        <v>18</v>
      </c>
      <c r="I845" t="s">
        <v>2280</v>
      </c>
      <c r="J845" t="s">
        <v>20</v>
      </c>
    </row>
    <row r="846" spans="1:10" x14ac:dyDescent="0.25">
      <c r="A846">
        <v>1009</v>
      </c>
      <c r="B846" t="s">
        <v>2281</v>
      </c>
      <c r="C846">
        <v>30</v>
      </c>
      <c r="D846" t="s">
        <v>37</v>
      </c>
      <c r="E846">
        <v>45835</v>
      </c>
      <c r="F846">
        <v>45798</v>
      </c>
      <c r="G846" t="s">
        <v>2282</v>
      </c>
      <c r="H846" t="s">
        <v>28</v>
      </c>
      <c r="I846">
        <v>168.86</v>
      </c>
      <c r="J846" t="s">
        <v>35</v>
      </c>
    </row>
    <row r="847" spans="1:10" x14ac:dyDescent="0.25">
      <c r="A847">
        <v>1029</v>
      </c>
      <c r="B847" t="s">
        <v>2283</v>
      </c>
      <c r="C847">
        <v>23</v>
      </c>
      <c r="D847" t="s">
        <v>16</v>
      </c>
      <c r="E847">
        <v>46054</v>
      </c>
      <c r="F847">
        <v>45904</v>
      </c>
      <c r="G847" t="s">
        <v>2284</v>
      </c>
      <c r="H847" t="s">
        <v>18</v>
      </c>
      <c r="I847">
        <v>463.06</v>
      </c>
      <c r="J847" t="s">
        <v>35</v>
      </c>
    </row>
    <row r="848" spans="1:10" x14ac:dyDescent="0.25">
      <c r="A848">
        <v>1047</v>
      </c>
      <c r="B848" t="s">
        <v>2285</v>
      </c>
      <c r="C848">
        <v>66</v>
      </c>
      <c r="D848" t="s">
        <v>68</v>
      </c>
      <c r="E848">
        <v>45890</v>
      </c>
      <c r="F848">
        <v>45448</v>
      </c>
      <c r="G848" t="s">
        <v>2286</v>
      </c>
      <c r="H848" t="s">
        <v>28</v>
      </c>
      <c r="I848">
        <v>261.87</v>
      </c>
      <c r="J848">
        <v>0</v>
      </c>
    </row>
    <row r="849" spans="1:10" x14ac:dyDescent="0.25">
      <c r="A849">
        <v>1091</v>
      </c>
      <c r="B849" t="s">
        <v>2287</v>
      </c>
      <c r="C849">
        <v>25</v>
      </c>
      <c r="D849" t="s">
        <v>22</v>
      </c>
      <c r="E849">
        <v>45980</v>
      </c>
      <c r="F849">
        <v>45976</v>
      </c>
      <c r="G849" t="s">
        <v>2288</v>
      </c>
      <c r="H849" t="s">
        <v>13</v>
      </c>
      <c r="I849" t="s">
        <v>2289</v>
      </c>
      <c r="J849" t="s">
        <v>57</v>
      </c>
    </row>
    <row r="850" spans="1:10" x14ac:dyDescent="0.25">
      <c r="A850">
        <v>1026</v>
      </c>
      <c r="B850" t="s">
        <v>2290</v>
      </c>
      <c r="C850">
        <v>56</v>
      </c>
      <c r="D850" t="s">
        <v>16</v>
      </c>
      <c r="E850">
        <v>46011</v>
      </c>
      <c r="F850">
        <v>45832</v>
      </c>
      <c r="G850" t="s">
        <v>2291</v>
      </c>
      <c r="H850" t="s">
        <v>28</v>
      </c>
      <c r="I850">
        <v>197.66</v>
      </c>
      <c r="J850" t="s">
        <v>57</v>
      </c>
    </row>
    <row r="851" spans="1:10" x14ac:dyDescent="0.25">
      <c r="A851">
        <v>1075</v>
      </c>
      <c r="B851" t="s">
        <v>2292</v>
      </c>
      <c r="C851">
        <v>85</v>
      </c>
      <c r="D851">
        <v>0</v>
      </c>
      <c r="E851">
        <v>46090</v>
      </c>
      <c r="F851">
        <v>45734</v>
      </c>
      <c r="G851" t="s">
        <v>2293</v>
      </c>
      <c r="H851" t="s">
        <v>24</v>
      </c>
      <c r="I851" t="s">
        <v>2294</v>
      </c>
      <c r="J851" t="s">
        <v>30</v>
      </c>
    </row>
    <row r="852" spans="1:10" x14ac:dyDescent="0.25">
      <c r="A852">
        <v>1089</v>
      </c>
      <c r="B852" t="s">
        <v>2295</v>
      </c>
      <c r="C852">
        <v>76</v>
      </c>
      <c r="D852" t="s">
        <v>37</v>
      </c>
      <c r="E852">
        <v>46102</v>
      </c>
      <c r="F852">
        <v>45555</v>
      </c>
      <c r="G852" t="s">
        <v>2296</v>
      </c>
      <c r="H852" t="s">
        <v>24</v>
      </c>
      <c r="I852" t="s">
        <v>2297</v>
      </c>
      <c r="J852" t="s">
        <v>20</v>
      </c>
    </row>
    <row r="853" spans="1:10" x14ac:dyDescent="0.25">
      <c r="A853">
        <v>1031</v>
      </c>
      <c r="B853" t="s">
        <v>2298</v>
      </c>
      <c r="C853">
        <v>43</v>
      </c>
      <c r="D853" t="s">
        <v>22</v>
      </c>
      <c r="E853">
        <v>45896</v>
      </c>
      <c r="F853">
        <v>45423</v>
      </c>
      <c r="G853" t="s">
        <v>2299</v>
      </c>
      <c r="H853" t="s">
        <v>24</v>
      </c>
      <c r="I853">
        <v>263.10000000000002</v>
      </c>
      <c r="J853">
        <v>1</v>
      </c>
    </row>
    <row r="854" spans="1:10" x14ac:dyDescent="0.25">
      <c r="A854">
        <v>1082</v>
      </c>
      <c r="B854" t="s">
        <v>2300</v>
      </c>
      <c r="C854">
        <v>51</v>
      </c>
      <c r="D854" t="s">
        <v>68</v>
      </c>
      <c r="E854">
        <v>45902</v>
      </c>
      <c r="F854">
        <v>45884</v>
      </c>
      <c r="G854" t="s">
        <v>2301</v>
      </c>
      <c r="H854" t="s">
        <v>18</v>
      </c>
      <c r="I854" t="s">
        <v>2302</v>
      </c>
      <c r="J854" t="s">
        <v>57</v>
      </c>
    </row>
    <row r="855" spans="1:10" x14ac:dyDescent="0.25">
      <c r="A855">
        <v>1022</v>
      </c>
      <c r="B855" t="s">
        <v>2303</v>
      </c>
      <c r="C855">
        <v>89</v>
      </c>
      <c r="D855">
        <v>0</v>
      </c>
      <c r="E855">
        <v>46055</v>
      </c>
      <c r="F855">
        <v>45665</v>
      </c>
      <c r="G855" t="s">
        <v>2304</v>
      </c>
      <c r="H855" t="s">
        <v>24</v>
      </c>
      <c r="I855" t="s">
        <v>2305</v>
      </c>
      <c r="J855">
        <v>1</v>
      </c>
    </row>
    <row r="856" spans="1:10" x14ac:dyDescent="0.25">
      <c r="A856">
        <v>1063</v>
      </c>
      <c r="B856" t="s">
        <v>2306</v>
      </c>
      <c r="C856">
        <v>48</v>
      </c>
      <c r="D856" t="s">
        <v>16</v>
      </c>
      <c r="E856">
        <v>46045</v>
      </c>
      <c r="F856">
        <v>45943</v>
      </c>
      <c r="G856" t="s">
        <v>2307</v>
      </c>
      <c r="H856" t="s">
        <v>18</v>
      </c>
      <c r="I856">
        <v>248.84</v>
      </c>
      <c r="J856" t="s">
        <v>30</v>
      </c>
    </row>
    <row r="857" spans="1:10" x14ac:dyDescent="0.25">
      <c r="A857">
        <v>1009</v>
      </c>
      <c r="B857" t="s">
        <v>2308</v>
      </c>
      <c r="C857">
        <v>37</v>
      </c>
      <c r="D857" t="s">
        <v>22</v>
      </c>
      <c r="E857">
        <v>45861</v>
      </c>
      <c r="F857">
        <v>45730</v>
      </c>
      <c r="G857" t="s">
        <v>2309</v>
      </c>
      <c r="H857" t="s">
        <v>13</v>
      </c>
      <c r="I857">
        <v>89.38</v>
      </c>
      <c r="J857" t="s">
        <v>30</v>
      </c>
    </row>
    <row r="858" spans="1:10" x14ac:dyDescent="0.25">
      <c r="A858">
        <v>1079</v>
      </c>
      <c r="B858" t="s">
        <v>2310</v>
      </c>
      <c r="C858">
        <v>64</v>
      </c>
      <c r="D858">
        <v>1</v>
      </c>
      <c r="E858">
        <v>45871</v>
      </c>
      <c r="F858">
        <v>45808</v>
      </c>
      <c r="G858" t="s">
        <v>2311</v>
      </c>
      <c r="H858" t="s">
        <v>24</v>
      </c>
      <c r="I858" t="s">
        <v>2312</v>
      </c>
      <c r="J858" t="s">
        <v>35</v>
      </c>
    </row>
    <row r="859" spans="1:10" x14ac:dyDescent="0.25">
      <c r="A859">
        <v>1001</v>
      </c>
      <c r="B859" t="s">
        <v>2313</v>
      </c>
      <c r="C859">
        <v>25</v>
      </c>
      <c r="D859" t="s">
        <v>16</v>
      </c>
      <c r="E859">
        <v>46062</v>
      </c>
      <c r="F859">
        <v>45676</v>
      </c>
      <c r="G859" t="s">
        <v>2314</v>
      </c>
      <c r="H859" t="s">
        <v>18</v>
      </c>
      <c r="I859">
        <v>217.51</v>
      </c>
      <c r="J859">
        <v>1</v>
      </c>
    </row>
    <row r="860" spans="1:10" x14ac:dyDescent="0.25">
      <c r="A860">
        <v>1022</v>
      </c>
      <c r="B860" t="s">
        <v>2315</v>
      </c>
      <c r="C860">
        <v>78</v>
      </c>
      <c r="D860" t="s">
        <v>49</v>
      </c>
      <c r="E860">
        <v>45939</v>
      </c>
      <c r="F860">
        <v>45832</v>
      </c>
      <c r="G860" t="s">
        <v>2316</v>
      </c>
      <c r="H860" t="s">
        <v>28</v>
      </c>
      <c r="I860" t="s">
        <v>2317</v>
      </c>
      <c r="J860" t="s">
        <v>20</v>
      </c>
    </row>
    <row r="861" spans="1:10" x14ac:dyDescent="0.25">
      <c r="A861">
        <v>1008</v>
      </c>
      <c r="B861" t="s">
        <v>2318</v>
      </c>
      <c r="C861">
        <v>77</v>
      </c>
      <c r="D861" t="s">
        <v>37</v>
      </c>
      <c r="E861">
        <v>46029</v>
      </c>
      <c r="F861">
        <v>45472</v>
      </c>
      <c r="G861" t="s">
        <v>2319</v>
      </c>
      <c r="H861" t="s">
        <v>13</v>
      </c>
      <c r="I861">
        <v>298.89</v>
      </c>
      <c r="J861" t="s">
        <v>20</v>
      </c>
    </row>
    <row r="862" spans="1:10" x14ac:dyDescent="0.25">
      <c r="A862">
        <v>1100</v>
      </c>
      <c r="B862" t="s">
        <v>2320</v>
      </c>
      <c r="C862">
        <v>46</v>
      </c>
      <c r="D862" t="s">
        <v>49</v>
      </c>
      <c r="E862">
        <v>46054</v>
      </c>
      <c r="F862">
        <v>45835</v>
      </c>
      <c r="G862" t="s">
        <v>2321</v>
      </c>
      <c r="H862" t="s">
        <v>13</v>
      </c>
      <c r="I862" t="s">
        <v>2322</v>
      </c>
      <c r="J862" t="s">
        <v>20</v>
      </c>
    </row>
    <row r="863" spans="1:10" x14ac:dyDescent="0.25">
      <c r="A863">
        <v>1074</v>
      </c>
      <c r="B863" t="s">
        <v>2323</v>
      </c>
      <c r="C863">
        <v>90</v>
      </c>
      <c r="D863" t="s">
        <v>16</v>
      </c>
      <c r="E863">
        <v>45966</v>
      </c>
      <c r="F863">
        <v>45449</v>
      </c>
      <c r="G863" t="s">
        <v>2324</v>
      </c>
      <c r="H863" t="s">
        <v>28</v>
      </c>
      <c r="I863" t="s">
        <v>2325</v>
      </c>
      <c r="J863">
        <v>0</v>
      </c>
    </row>
    <row r="864" spans="1:10" x14ac:dyDescent="0.25">
      <c r="A864">
        <v>1037</v>
      </c>
      <c r="B864" t="s">
        <v>2326</v>
      </c>
      <c r="C864">
        <v>26</v>
      </c>
      <c r="D864">
        <v>1</v>
      </c>
      <c r="E864">
        <v>46039</v>
      </c>
      <c r="F864">
        <v>45471</v>
      </c>
      <c r="G864" t="s">
        <v>2327</v>
      </c>
      <c r="H864" t="s">
        <v>28</v>
      </c>
      <c r="I864" t="s">
        <v>2328</v>
      </c>
      <c r="J864">
        <v>0</v>
      </c>
    </row>
    <row r="865" spans="1:10" x14ac:dyDescent="0.25">
      <c r="A865">
        <v>1094</v>
      </c>
      <c r="B865" t="s">
        <v>2329</v>
      </c>
      <c r="C865">
        <v>22</v>
      </c>
      <c r="D865" t="s">
        <v>16</v>
      </c>
      <c r="E865">
        <v>46097</v>
      </c>
      <c r="F865">
        <v>45622</v>
      </c>
      <c r="G865" t="s">
        <v>2330</v>
      </c>
      <c r="H865" t="s">
        <v>18</v>
      </c>
      <c r="I865" t="s">
        <v>2331</v>
      </c>
      <c r="J865">
        <v>1</v>
      </c>
    </row>
    <row r="866" spans="1:10" x14ac:dyDescent="0.25">
      <c r="A866">
        <v>1066</v>
      </c>
      <c r="B866" t="s">
        <v>2332</v>
      </c>
      <c r="C866">
        <v>36</v>
      </c>
      <c r="D866">
        <v>0</v>
      </c>
      <c r="E866">
        <v>46033</v>
      </c>
      <c r="F866">
        <v>45930</v>
      </c>
      <c r="G866" t="s">
        <v>2333</v>
      </c>
      <c r="H866" t="s">
        <v>13</v>
      </c>
      <c r="I866" t="s">
        <v>2334</v>
      </c>
      <c r="J866" t="s">
        <v>57</v>
      </c>
    </row>
    <row r="867" spans="1:10" x14ac:dyDescent="0.25">
      <c r="A867">
        <v>1084</v>
      </c>
      <c r="B867" t="s">
        <v>2335</v>
      </c>
      <c r="C867">
        <v>83</v>
      </c>
      <c r="D867" t="s">
        <v>37</v>
      </c>
      <c r="E867">
        <v>45865</v>
      </c>
      <c r="F867">
        <v>45744</v>
      </c>
      <c r="G867" t="s">
        <v>2336</v>
      </c>
      <c r="H867" t="s">
        <v>18</v>
      </c>
      <c r="I867">
        <v>318.44</v>
      </c>
      <c r="J867" t="s">
        <v>30</v>
      </c>
    </row>
    <row r="868" spans="1:10" x14ac:dyDescent="0.25">
      <c r="A868">
        <v>1008</v>
      </c>
      <c r="B868" t="s">
        <v>2337</v>
      </c>
      <c r="C868">
        <v>44</v>
      </c>
      <c r="D868" t="s">
        <v>16</v>
      </c>
      <c r="E868">
        <v>45937</v>
      </c>
      <c r="F868">
        <v>45613</v>
      </c>
      <c r="G868" t="s">
        <v>2338</v>
      </c>
      <c r="H868" t="s">
        <v>24</v>
      </c>
      <c r="I868" t="s">
        <v>2339</v>
      </c>
      <c r="J868">
        <v>0</v>
      </c>
    </row>
    <row r="869" spans="1:10" x14ac:dyDescent="0.25">
      <c r="A869">
        <v>1039</v>
      </c>
      <c r="B869" t="s">
        <v>2340</v>
      </c>
      <c r="C869">
        <v>69</v>
      </c>
      <c r="D869" t="s">
        <v>11</v>
      </c>
      <c r="E869">
        <v>46057</v>
      </c>
      <c r="F869">
        <v>45582</v>
      </c>
      <c r="G869" t="s">
        <v>2341</v>
      </c>
      <c r="H869" t="s">
        <v>13</v>
      </c>
      <c r="I869">
        <v>161.56</v>
      </c>
      <c r="J869" t="s">
        <v>20</v>
      </c>
    </row>
    <row r="870" spans="1:10" x14ac:dyDescent="0.25">
      <c r="A870">
        <v>1092</v>
      </c>
      <c r="B870" t="s">
        <v>2342</v>
      </c>
      <c r="C870">
        <v>58</v>
      </c>
      <c r="D870" t="s">
        <v>22</v>
      </c>
      <c r="E870">
        <v>45843</v>
      </c>
      <c r="F870">
        <v>45793</v>
      </c>
      <c r="G870" t="s">
        <v>2343</v>
      </c>
      <c r="H870" t="s">
        <v>28</v>
      </c>
      <c r="I870" t="s">
        <v>2344</v>
      </c>
      <c r="J870" t="s">
        <v>20</v>
      </c>
    </row>
    <row r="871" spans="1:10" x14ac:dyDescent="0.25">
      <c r="A871">
        <v>1023</v>
      </c>
      <c r="B871" t="s">
        <v>2345</v>
      </c>
      <c r="C871">
        <v>76</v>
      </c>
      <c r="D871">
        <v>1</v>
      </c>
      <c r="E871">
        <v>45888</v>
      </c>
      <c r="F871">
        <v>45884</v>
      </c>
      <c r="G871" t="s">
        <v>2346</v>
      </c>
      <c r="H871" t="s">
        <v>28</v>
      </c>
      <c r="I871" t="s">
        <v>2347</v>
      </c>
      <c r="J871">
        <v>1</v>
      </c>
    </row>
    <row r="872" spans="1:10" x14ac:dyDescent="0.25">
      <c r="A872">
        <v>1004</v>
      </c>
      <c r="B872" t="s">
        <v>2348</v>
      </c>
      <c r="C872">
        <v>67</v>
      </c>
      <c r="D872">
        <v>1</v>
      </c>
      <c r="E872">
        <v>45981</v>
      </c>
      <c r="F872">
        <v>45871</v>
      </c>
      <c r="G872" t="s">
        <v>2349</v>
      </c>
      <c r="H872" t="s">
        <v>24</v>
      </c>
      <c r="I872" t="s">
        <v>2350</v>
      </c>
      <c r="J872" t="s">
        <v>35</v>
      </c>
    </row>
    <row r="873" spans="1:10" x14ac:dyDescent="0.25">
      <c r="A873">
        <v>1056</v>
      </c>
      <c r="B873" t="s">
        <v>2351</v>
      </c>
      <c r="C873">
        <v>30</v>
      </c>
      <c r="E873">
        <v>45806</v>
      </c>
      <c r="F873">
        <v>45443</v>
      </c>
      <c r="G873" t="s">
        <v>2352</v>
      </c>
      <c r="H873" t="s">
        <v>18</v>
      </c>
      <c r="I873" t="s">
        <v>2353</v>
      </c>
      <c r="J873" t="s">
        <v>35</v>
      </c>
    </row>
    <row r="874" spans="1:10" x14ac:dyDescent="0.25">
      <c r="A874">
        <v>1077</v>
      </c>
      <c r="B874" t="s">
        <v>2354</v>
      </c>
      <c r="C874">
        <v>78</v>
      </c>
      <c r="D874" t="s">
        <v>22</v>
      </c>
      <c r="E874">
        <v>45970</v>
      </c>
      <c r="F874">
        <v>45852</v>
      </c>
      <c r="G874" t="s">
        <v>2355</v>
      </c>
      <c r="H874" t="s">
        <v>18</v>
      </c>
      <c r="I874" t="s">
        <v>2356</v>
      </c>
      <c r="J874" t="s">
        <v>35</v>
      </c>
    </row>
    <row r="875" spans="1:10" x14ac:dyDescent="0.25">
      <c r="A875">
        <v>1081</v>
      </c>
      <c r="B875" t="s">
        <v>2201</v>
      </c>
      <c r="C875">
        <v>45</v>
      </c>
      <c r="D875" t="s">
        <v>22</v>
      </c>
      <c r="E875">
        <v>46102</v>
      </c>
      <c r="F875">
        <v>45416</v>
      </c>
      <c r="G875" t="s">
        <v>2357</v>
      </c>
      <c r="H875" t="s">
        <v>28</v>
      </c>
      <c r="I875" t="s">
        <v>2358</v>
      </c>
      <c r="J875" t="s">
        <v>20</v>
      </c>
    </row>
    <row r="876" spans="1:10" x14ac:dyDescent="0.25">
      <c r="A876">
        <v>1078</v>
      </c>
      <c r="B876" t="s">
        <v>2359</v>
      </c>
      <c r="C876">
        <v>25</v>
      </c>
      <c r="D876" t="s">
        <v>37</v>
      </c>
      <c r="E876">
        <v>45977</v>
      </c>
      <c r="F876">
        <v>45557</v>
      </c>
      <c r="G876" t="s">
        <v>2360</v>
      </c>
      <c r="H876" t="s">
        <v>13</v>
      </c>
      <c r="I876">
        <v>368.56</v>
      </c>
      <c r="J876" t="s">
        <v>30</v>
      </c>
    </row>
    <row r="877" spans="1:10" x14ac:dyDescent="0.25">
      <c r="A877">
        <v>1054</v>
      </c>
      <c r="B877" t="s">
        <v>2361</v>
      </c>
      <c r="C877">
        <v>50</v>
      </c>
      <c r="D877" t="s">
        <v>37</v>
      </c>
      <c r="E877">
        <v>45813</v>
      </c>
      <c r="F877">
        <v>45645</v>
      </c>
      <c r="G877" t="s">
        <v>2362</v>
      </c>
      <c r="H877" t="s">
        <v>28</v>
      </c>
      <c r="I877" t="s">
        <v>2363</v>
      </c>
      <c r="J877" t="s">
        <v>30</v>
      </c>
    </row>
    <row r="878" spans="1:10" x14ac:dyDescent="0.25">
      <c r="A878">
        <v>1085</v>
      </c>
      <c r="B878" t="s">
        <v>2364</v>
      </c>
      <c r="C878">
        <v>85</v>
      </c>
      <c r="D878" t="s">
        <v>68</v>
      </c>
      <c r="E878">
        <v>46031</v>
      </c>
      <c r="F878">
        <v>45780</v>
      </c>
      <c r="G878" t="s">
        <v>2365</v>
      </c>
      <c r="H878" t="s">
        <v>13</v>
      </c>
      <c r="I878" t="s">
        <v>2366</v>
      </c>
      <c r="J878" t="s">
        <v>30</v>
      </c>
    </row>
    <row r="879" spans="1:10" x14ac:dyDescent="0.25">
      <c r="A879">
        <v>1028</v>
      </c>
      <c r="B879" t="s">
        <v>2367</v>
      </c>
      <c r="C879">
        <v>22</v>
      </c>
      <c r="D879">
        <v>1</v>
      </c>
      <c r="E879">
        <v>46008</v>
      </c>
      <c r="F879">
        <v>45875</v>
      </c>
      <c r="G879" t="s">
        <v>2368</v>
      </c>
      <c r="H879" t="s">
        <v>18</v>
      </c>
      <c r="I879" t="s">
        <v>2369</v>
      </c>
      <c r="J879" t="s">
        <v>30</v>
      </c>
    </row>
    <row r="880" spans="1:10" x14ac:dyDescent="0.25">
      <c r="A880">
        <v>1048</v>
      </c>
      <c r="B880" t="s">
        <v>2370</v>
      </c>
      <c r="C880">
        <v>89</v>
      </c>
      <c r="D880">
        <v>0</v>
      </c>
      <c r="E880">
        <v>45858</v>
      </c>
      <c r="F880">
        <v>45455</v>
      </c>
      <c r="G880" t="s">
        <v>2371</v>
      </c>
      <c r="H880" t="s">
        <v>24</v>
      </c>
      <c r="I880" t="s">
        <v>2372</v>
      </c>
      <c r="J880" t="s">
        <v>30</v>
      </c>
    </row>
    <row r="881" spans="1:10" x14ac:dyDescent="0.25">
      <c r="A881">
        <v>1008</v>
      </c>
      <c r="B881" t="s">
        <v>2373</v>
      </c>
      <c r="C881">
        <v>34</v>
      </c>
      <c r="D881" t="s">
        <v>37</v>
      </c>
      <c r="E881">
        <v>45940</v>
      </c>
      <c r="F881">
        <v>45779</v>
      </c>
      <c r="G881" t="s">
        <v>2374</v>
      </c>
      <c r="H881" t="s">
        <v>24</v>
      </c>
      <c r="I881">
        <v>431.45</v>
      </c>
      <c r="J881">
        <v>0</v>
      </c>
    </row>
    <row r="882" spans="1:10" x14ac:dyDescent="0.25">
      <c r="A882">
        <v>1002</v>
      </c>
      <c r="B882" t="s">
        <v>2375</v>
      </c>
      <c r="C882">
        <v>22</v>
      </c>
      <c r="D882" t="s">
        <v>22</v>
      </c>
      <c r="E882">
        <v>45886</v>
      </c>
      <c r="F882">
        <v>45662</v>
      </c>
      <c r="G882" t="s">
        <v>2376</v>
      </c>
      <c r="H882" t="s">
        <v>18</v>
      </c>
      <c r="I882" t="s">
        <v>2377</v>
      </c>
      <c r="J882">
        <v>0</v>
      </c>
    </row>
    <row r="883" spans="1:10" x14ac:dyDescent="0.25">
      <c r="A883">
        <v>1013</v>
      </c>
      <c r="B883" t="s">
        <v>2378</v>
      </c>
      <c r="C883">
        <v>24</v>
      </c>
      <c r="E883">
        <v>45757</v>
      </c>
      <c r="F883">
        <v>45738</v>
      </c>
      <c r="G883" t="s">
        <v>2379</v>
      </c>
      <c r="H883" t="s">
        <v>18</v>
      </c>
      <c r="I883">
        <v>281.70999999999998</v>
      </c>
      <c r="J883" t="s">
        <v>30</v>
      </c>
    </row>
    <row r="884" spans="1:10" x14ac:dyDescent="0.25">
      <c r="A884">
        <v>1032</v>
      </c>
      <c r="B884" t="s">
        <v>2380</v>
      </c>
      <c r="C884">
        <v>21</v>
      </c>
      <c r="D884" t="s">
        <v>68</v>
      </c>
      <c r="E884">
        <v>46061</v>
      </c>
      <c r="F884">
        <v>45791</v>
      </c>
      <c r="G884" t="s">
        <v>1921</v>
      </c>
      <c r="H884" t="s">
        <v>28</v>
      </c>
      <c r="I884" t="s">
        <v>2381</v>
      </c>
      <c r="J884" t="s">
        <v>57</v>
      </c>
    </row>
    <row r="885" spans="1:10" x14ac:dyDescent="0.25">
      <c r="A885">
        <v>1074</v>
      </c>
      <c r="B885" t="s">
        <v>2382</v>
      </c>
      <c r="C885">
        <v>23</v>
      </c>
      <c r="D885" t="s">
        <v>49</v>
      </c>
      <c r="E885">
        <v>45803</v>
      </c>
      <c r="F885">
        <v>45674</v>
      </c>
      <c r="G885" t="s">
        <v>2383</v>
      </c>
      <c r="H885" t="s">
        <v>24</v>
      </c>
      <c r="I885" t="s">
        <v>2384</v>
      </c>
      <c r="J885" t="s">
        <v>35</v>
      </c>
    </row>
    <row r="886" spans="1:10" x14ac:dyDescent="0.25">
      <c r="A886">
        <v>1025</v>
      </c>
      <c r="B886" t="s">
        <v>2385</v>
      </c>
      <c r="C886">
        <v>52</v>
      </c>
      <c r="D886">
        <v>0</v>
      </c>
      <c r="E886">
        <v>45813</v>
      </c>
      <c r="F886">
        <v>45602</v>
      </c>
      <c r="G886" t="s">
        <v>2386</v>
      </c>
      <c r="H886" t="s">
        <v>18</v>
      </c>
      <c r="I886" t="s">
        <v>2387</v>
      </c>
      <c r="J886" t="s">
        <v>57</v>
      </c>
    </row>
    <row r="887" spans="1:10" x14ac:dyDescent="0.25">
      <c r="A887">
        <v>1040</v>
      </c>
      <c r="B887" t="s">
        <v>2388</v>
      </c>
      <c r="C887">
        <v>36</v>
      </c>
      <c r="E887">
        <v>45804</v>
      </c>
      <c r="F887">
        <v>45628</v>
      </c>
      <c r="G887" t="s">
        <v>2389</v>
      </c>
      <c r="H887" t="s">
        <v>18</v>
      </c>
      <c r="I887" t="s">
        <v>2390</v>
      </c>
      <c r="J887" t="s">
        <v>30</v>
      </c>
    </row>
    <row r="888" spans="1:10" x14ac:dyDescent="0.25">
      <c r="A888">
        <v>1089</v>
      </c>
      <c r="B888" t="s">
        <v>2391</v>
      </c>
      <c r="C888">
        <v>20</v>
      </c>
      <c r="D888">
        <v>1</v>
      </c>
      <c r="E888">
        <v>45933</v>
      </c>
      <c r="F888">
        <v>45868</v>
      </c>
      <c r="G888" t="s">
        <v>2392</v>
      </c>
      <c r="H888" t="s">
        <v>24</v>
      </c>
      <c r="I888" t="s">
        <v>2393</v>
      </c>
      <c r="J888">
        <v>0</v>
      </c>
    </row>
    <row r="889" spans="1:10" x14ac:dyDescent="0.25">
      <c r="A889">
        <v>1069</v>
      </c>
      <c r="B889" t="s">
        <v>2394</v>
      </c>
      <c r="C889">
        <v>32</v>
      </c>
      <c r="D889">
        <v>0</v>
      </c>
      <c r="E889">
        <v>46076</v>
      </c>
      <c r="F889">
        <v>45671</v>
      </c>
      <c r="G889" t="s">
        <v>2395</v>
      </c>
      <c r="H889" t="s">
        <v>28</v>
      </c>
      <c r="I889" t="s">
        <v>2396</v>
      </c>
      <c r="J889">
        <v>1</v>
      </c>
    </row>
    <row r="890" spans="1:10" x14ac:dyDescent="0.25">
      <c r="A890">
        <v>1070</v>
      </c>
      <c r="B890" t="s">
        <v>2397</v>
      </c>
      <c r="C890">
        <v>38</v>
      </c>
      <c r="D890">
        <v>1</v>
      </c>
      <c r="E890">
        <v>45844</v>
      </c>
      <c r="F890">
        <v>45770</v>
      </c>
      <c r="G890" t="s">
        <v>2398</v>
      </c>
      <c r="H890" t="s">
        <v>24</v>
      </c>
      <c r="I890" t="s">
        <v>2399</v>
      </c>
      <c r="J890" t="s">
        <v>20</v>
      </c>
    </row>
    <row r="891" spans="1:10" x14ac:dyDescent="0.25">
      <c r="A891">
        <v>1070</v>
      </c>
      <c r="B891" t="s">
        <v>2400</v>
      </c>
      <c r="C891">
        <v>53</v>
      </c>
      <c r="E891">
        <v>46040</v>
      </c>
      <c r="F891">
        <v>45727</v>
      </c>
      <c r="G891" t="s">
        <v>2401</v>
      </c>
      <c r="H891" t="s">
        <v>24</v>
      </c>
      <c r="I891" t="s">
        <v>2402</v>
      </c>
      <c r="J891" t="s">
        <v>35</v>
      </c>
    </row>
    <row r="892" spans="1:10" x14ac:dyDescent="0.25">
      <c r="A892">
        <v>1077</v>
      </c>
      <c r="B892" t="s">
        <v>2403</v>
      </c>
      <c r="C892">
        <v>58</v>
      </c>
      <c r="D892" t="s">
        <v>16</v>
      </c>
      <c r="E892">
        <v>46106</v>
      </c>
      <c r="F892">
        <v>45954</v>
      </c>
      <c r="G892" t="s">
        <v>2404</v>
      </c>
      <c r="H892" t="s">
        <v>24</v>
      </c>
      <c r="I892">
        <v>199.03</v>
      </c>
      <c r="J892" t="s">
        <v>30</v>
      </c>
    </row>
    <row r="893" spans="1:10" x14ac:dyDescent="0.25">
      <c r="A893">
        <v>1082</v>
      </c>
      <c r="B893" t="s">
        <v>2405</v>
      </c>
      <c r="C893">
        <v>61</v>
      </c>
      <c r="D893" t="s">
        <v>22</v>
      </c>
      <c r="E893">
        <v>45966</v>
      </c>
      <c r="F893">
        <v>45920</v>
      </c>
      <c r="G893" t="s">
        <v>946</v>
      </c>
      <c r="H893" t="s">
        <v>13</v>
      </c>
      <c r="I893" t="s">
        <v>2406</v>
      </c>
      <c r="J893">
        <v>0</v>
      </c>
    </row>
    <row r="894" spans="1:10" x14ac:dyDescent="0.25">
      <c r="A894">
        <v>1053</v>
      </c>
      <c r="B894" t="s">
        <v>2407</v>
      </c>
      <c r="C894">
        <v>66</v>
      </c>
      <c r="D894">
        <v>0</v>
      </c>
      <c r="E894">
        <v>45893</v>
      </c>
      <c r="F894">
        <v>45431</v>
      </c>
      <c r="G894" t="s">
        <v>2408</v>
      </c>
      <c r="H894" t="s">
        <v>18</v>
      </c>
      <c r="I894" t="s">
        <v>2409</v>
      </c>
      <c r="J894">
        <v>0</v>
      </c>
    </row>
    <row r="895" spans="1:10" x14ac:dyDescent="0.25">
      <c r="A895">
        <v>1083</v>
      </c>
      <c r="B895" t="s">
        <v>2410</v>
      </c>
      <c r="C895">
        <v>18</v>
      </c>
      <c r="D895" t="s">
        <v>68</v>
      </c>
      <c r="E895">
        <v>45768</v>
      </c>
      <c r="F895">
        <v>45539</v>
      </c>
      <c r="G895" t="s">
        <v>2411</v>
      </c>
      <c r="H895" t="s">
        <v>24</v>
      </c>
      <c r="I895" t="s">
        <v>2412</v>
      </c>
      <c r="J895" t="s">
        <v>35</v>
      </c>
    </row>
    <row r="896" spans="1:10" x14ac:dyDescent="0.25">
      <c r="A896">
        <v>1096</v>
      </c>
      <c r="B896" t="s">
        <v>2413</v>
      </c>
      <c r="C896">
        <v>70</v>
      </c>
      <c r="D896">
        <v>1</v>
      </c>
      <c r="E896">
        <v>45820</v>
      </c>
      <c r="F896">
        <v>45623</v>
      </c>
      <c r="G896" t="s">
        <v>2414</v>
      </c>
      <c r="H896" t="s">
        <v>24</v>
      </c>
      <c r="I896" t="s">
        <v>2415</v>
      </c>
      <c r="J896" t="s">
        <v>35</v>
      </c>
    </row>
    <row r="897" spans="1:10" x14ac:dyDescent="0.25">
      <c r="A897">
        <v>1043</v>
      </c>
      <c r="B897" t="s">
        <v>2416</v>
      </c>
      <c r="C897">
        <v>31</v>
      </c>
      <c r="D897" t="s">
        <v>49</v>
      </c>
      <c r="E897">
        <v>45982</v>
      </c>
      <c r="F897">
        <v>45885</v>
      </c>
      <c r="G897" t="s">
        <v>2417</v>
      </c>
      <c r="H897" t="s">
        <v>24</v>
      </c>
      <c r="I897" t="s">
        <v>2418</v>
      </c>
      <c r="J897" t="s">
        <v>57</v>
      </c>
    </row>
    <row r="898" spans="1:10" x14ac:dyDescent="0.25">
      <c r="A898">
        <v>1058</v>
      </c>
      <c r="B898" t="s">
        <v>2419</v>
      </c>
      <c r="C898">
        <v>64</v>
      </c>
      <c r="D898" t="s">
        <v>68</v>
      </c>
      <c r="E898">
        <v>45761</v>
      </c>
      <c r="F898">
        <v>45692</v>
      </c>
      <c r="G898" t="s">
        <v>2420</v>
      </c>
      <c r="H898" t="s">
        <v>24</v>
      </c>
      <c r="I898" t="s">
        <v>2421</v>
      </c>
      <c r="J898">
        <v>1</v>
      </c>
    </row>
    <row r="899" spans="1:10" x14ac:dyDescent="0.25">
      <c r="A899">
        <v>1080</v>
      </c>
      <c r="B899" t="s">
        <v>2422</v>
      </c>
      <c r="C899">
        <v>21</v>
      </c>
      <c r="D899" t="s">
        <v>49</v>
      </c>
      <c r="E899">
        <v>45774</v>
      </c>
      <c r="F899">
        <v>45729</v>
      </c>
      <c r="G899" t="s">
        <v>2423</v>
      </c>
      <c r="H899" t="s">
        <v>24</v>
      </c>
      <c r="I899" t="s">
        <v>2424</v>
      </c>
      <c r="J899" t="s">
        <v>35</v>
      </c>
    </row>
    <row r="900" spans="1:10" x14ac:dyDescent="0.25">
      <c r="A900">
        <v>1097</v>
      </c>
      <c r="B900" t="s">
        <v>2425</v>
      </c>
      <c r="C900">
        <v>51</v>
      </c>
      <c r="D900" t="s">
        <v>11</v>
      </c>
      <c r="E900">
        <v>45911</v>
      </c>
      <c r="F900">
        <v>45456</v>
      </c>
      <c r="G900" t="s">
        <v>2426</v>
      </c>
      <c r="H900" t="s">
        <v>28</v>
      </c>
      <c r="I900" t="s">
        <v>2427</v>
      </c>
      <c r="J900" t="s">
        <v>30</v>
      </c>
    </row>
    <row r="901" spans="1:10" x14ac:dyDescent="0.25">
      <c r="A901">
        <v>1054</v>
      </c>
      <c r="B901" t="s">
        <v>2428</v>
      </c>
      <c r="C901">
        <v>29</v>
      </c>
      <c r="D901" t="s">
        <v>22</v>
      </c>
      <c r="E901">
        <v>45794</v>
      </c>
      <c r="F901">
        <v>45571</v>
      </c>
      <c r="G901" t="s">
        <v>2429</v>
      </c>
      <c r="H901" t="s">
        <v>24</v>
      </c>
      <c r="I901" t="s">
        <v>2430</v>
      </c>
      <c r="J901" t="s">
        <v>57</v>
      </c>
    </row>
    <row r="902" spans="1:10" x14ac:dyDescent="0.25">
      <c r="A902">
        <v>1075</v>
      </c>
      <c r="B902" t="s">
        <v>2431</v>
      </c>
      <c r="C902">
        <v>51</v>
      </c>
      <c r="D902" t="s">
        <v>68</v>
      </c>
      <c r="E902">
        <v>46002</v>
      </c>
      <c r="F902">
        <v>45949</v>
      </c>
      <c r="G902" t="s">
        <v>2432</v>
      </c>
      <c r="H902" t="s">
        <v>24</v>
      </c>
      <c r="I902" t="s">
        <v>2433</v>
      </c>
      <c r="J902" t="s">
        <v>30</v>
      </c>
    </row>
    <row r="903" spans="1:10" x14ac:dyDescent="0.25">
      <c r="A903">
        <v>1036</v>
      </c>
      <c r="B903" t="s">
        <v>2434</v>
      </c>
      <c r="C903">
        <v>82</v>
      </c>
      <c r="D903" t="s">
        <v>49</v>
      </c>
      <c r="E903">
        <v>45999</v>
      </c>
      <c r="F903">
        <v>45389</v>
      </c>
      <c r="G903" t="s">
        <v>2435</v>
      </c>
      <c r="H903" t="s">
        <v>28</v>
      </c>
      <c r="I903" t="s">
        <v>2436</v>
      </c>
      <c r="J903" t="s">
        <v>20</v>
      </c>
    </row>
    <row r="904" spans="1:10" x14ac:dyDescent="0.25">
      <c r="A904">
        <v>1064</v>
      </c>
      <c r="B904" t="s">
        <v>2437</v>
      </c>
      <c r="C904">
        <v>78</v>
      </c>
      <c r="D904" t="s">
        <v>11</v>
      </c>
      <c r="E904">
        <v>46036</v>
      </c>
      <c r="F904">
        <v>45784</v>
      </c>
      <c r="G904" t="s">
        <v>2438</v>
      </c>
      <c r="H904" t="s">
        <v>18</v>
      </c>
      <c r="I904" t="s">
        <v>2439</v>
      </c>
      <c r="J904" t="s">
        <v>30</v>
      </c>
    </row>
    <row r="905" spans="1:10" x14ac:dyDescent="0.25">
      <c r="A905">
        <v>1015</v>
      </c>
      <c r="B905" t="s">
        <v>2440</v>
      </c>
      <c r="C905">
        <v>63</v>
      </c>
      <c r="D905">
        <v>1</v>
      </c>
      <c r="E905">
        <v>45989</v>
      </c>
      <c r="F905">
        <v>45559</v>
      </c>
      <c r="G905" t="s">
        <v>2441</v>
      </c>
      <c r="H905" t="s">
        <v>24</v>
      </c>
      <c r="I905">
        <v>427.62</v>
      </c>
      <c r="J905" t="s">
        <v>35</v>
      </c>
    </row>
    <row r="906" spans="1:10" x14ac:dyDescent="0.25">
      <c r="A906">
        <v>1045</v>
      </c>
      <c r="B906" t="s">
        <v>2442</v>
      </c>
      <c r="C906">
        <v>66</v>
      </c>
      <c r="D906">
        <v>1</v>
      </c>
      <c r="E906">
        <v>45800</v>
      </c>
      <c r="F906">
        <v>45411</v>
      </c>
      <c r="G906" t="s">
        <v>2443</v>
      </c>
      <c r="H906" t="s">
        <v>18</v>
      </c>
      <c r="I906" t="s">
        <v>2444</v>
      </c>
      <c r="J906" t="s">
        <v>35</v>
      </c>
    </row>
    <row r="907" spans="1:10" x14ac:dyDescent="0.25">
      <c r="A907">
        <v>1016</v>
      </c>
      <c r="B907" t="s">
        <v>2445</v>
      </c>
      <c r="C907">
        <v>49</v>
      </c>
      <c r="D907" t="s">
        <v>49</v>
      </c>
      <c r="E907">
        <v>45916</v>
      </c>
      <c r="F907">
        <v>45779</v>
      </c>
      <c r="G907" t="s">
        <v>2446</v>
      </c>
      <c r="H907" t="s">
        <v>18</v>
      </c>
      <c r="J907">
        <v>0</v>
      </c>
    </row>
    <row r="908" spans="1:10" x14ac:dyDescent="0.25">
      <c r="A908">
        <v>1006</v>
      </c>
      <c r="B908" t="s">
        <v>2447</v>
      </c>
      <c r="C908">
        <v>61</v>
      </c>
      <c r="D908" t="s">
        <v>22</v>
      </c>
      <c r="E908">
        <v>45975</v>
      </c>
      <c r="F908">
        <v>45422</v>
      </c>
      <c r="G908" t="s">
        <v>2448</v>
      </c>
      <c r="H908" t="s">
        <v>18</v>
      </c>
      <c r="I908" t="s">
        <v>2449</v>
      </c>
      <c r="J908" t="s">
        <v>57</v>
      </c>
    </row>
    <row r="909" spans="1:10" x14ac:dyDescent="0.25">
      <c r="A909">
        <v>1058</v>
      </c>
      <c r="B909" t="s">
        <v>2450</v>
      </c>
      <c r="C909">
        <v>30</v>
      </c>
      <c r="D909" t="s">
        <v>16</v>
      </c>
      <c r="E909">
        <v>46079</v>
      </c>
      <c r="F909">
        <v>46060</v>
      </c>
      <c r="G909" t="s">
        <v>2451</v>
      </c>
      <c r="H909" t="s">
        <v>28</v>
      </c>
      <c r="I909" t="s">
        <v>2452</v>
      </c>
      <c r="J909">
        <v>0</v>
      </c>
    </row>
    <row r="910" spans="1:10" x14ac:dyDescent="0.25">
      <c r="A910">
        <v>1050</v>
      </c>
      <c r="B910" t="s">
        <v>2453</v>
      </c>
      <c r="C910">
        <v>23</v>
      </c>
      <c r="D910">
        <v>1</v>
      </c>
      <c r="E910">
        <v>45957</v>
      </c>
      <c r="F910">
        <v>45830</v>
      </c>
      <c r="G910" t="s">
        <v>2454</v>
      </c>
      <c r="H910" t="s">
        <v>13</v>
      </c>
      <c r="I910" t="s">
        <v>2455</v>
      </c>
      <c r="J910">
        <v>1</v>
      </c>
    </row>
    <row r="911" spans="1:10" x14ac:dyDescent="0.25">
      <c r="A911">
        <v>1016</v>
      </c>
      <c r="B911" t="s">
        <v>2456</v>
      </c>
      <c r="C911">
        <v>87</v>
      </c>
      <c r="D911" t="s">
        <v>11</v>
      </c>
      <c r="E911">
        <v>46046</v>
      </c>
      <c r="F911">
        <v>45635</v>
      </c>
      <c r="G911" t="s">
        <v>2457</v>
      </c>
      <c r="H911" t="s">
        <v>28</v>
      </c>
      <c r="I911" t="s">
        <v>2458</v>
      </c>
      <c r="J911" t="s">
        <v>20</v>
      </c>
    </row>
    <row r="912" spans="1:10" x14ac:dyDescent="0.25">
      <c r="A912">
        <v>1014</v>
      </c>
      <c r="B912" t="s">
        <v>2459</v>
      </c>
      <c r="C912">
        <v>31</v>
      </c>
      <c r="D912">
        <v>0</v>
      </c>
      <c r="E912">
        <v>45899</v>
      </c>
      <c r="F912">
        <v>45674</v>
      </c>
      <c r="G912" t="s">
        <v>2460</v>
      </c>
      <c r="H912" t="s">
        <v>28</v>
      </c>
      <c r="I912" t="s">
        <v>2461</v>
      </c>
      <c r="J912" t="s">
        <v>20</v>
      </c>
    </row>
    <row r="913" spans="1:10" x14ac:dyDescent="0.25">
      <c r="A913">
        <v>1070</v>
      </c>
      <c r="B913" t="s">
        <v>2462</v>
      </c>
      <c r="C913">
        <v>49</v>
      </c>
      <c r="D913">
        <v>0</v>
      </c>
      <c r="E913">
        <v>45797</v>
      </c>
      <c r="F913">
        <v>45547</v>
      </c>
      <c r="G913" t="s">
        <v>2463</v>
      </c>
      <c r="H913" t="s">
        <v>28</v>
      </c>
      <c r="I913" t="s">
        <v>2464</v>
      </c>
      <c r="J913" t="s">
        <v>35</v>
      </c>
    </row>
    <row r="914" spans="1:10" x14ac:dyDescent="0.25">
      <c r="A914">
        <v>1068</v>
      </c>
      <c r="B914" t="s">
        <v>2465</v>
      </c>
      <c r="C914">
        <v>52</v>
      </c>
      <c r="D914" t="s">
        <v>37</v>
      </c>
      <c r="E914">
        <v>46034</v>
      </c>
      <c r="F914">
        <v>45543</v>
      </c>
      <c r="G914" t="s">
        <v>2466</v>
      </c>
      <c r="H914" t="s">
        <v>24</v>
      </c>
      <c r="I914" t="s">
        <v>2467</v>
      </c>
      <c r="J914">
        <v>0</v>
      </c>
    </row>
    <row r="915" spans="1:10" x14ac:dyDescent="0.25">
      <c r="A915">
        <v>1088</v>
      </c>
      <c r="B915" t="s">
        <v>2468</v>
      </c>
      <c r="C915">
        <v>65</v>
      </c>
      <c r="D915" t="s">
        <v>22</v>
      </c>
      <c r="E915">
        <v>45861</v>
      </c>
      <c r="F915">
        <v>45692</v>
      </c>
      <c r="G915" t="s">
        <v>2469</v>
      </c>
      <c r="H915" t="s">
        <v>24</v>
      </c>
      <c r="I915">
        <v>159.06</v>
      </c>
      <c r="J915" t="s">
        <v>20</v>
      </c>
    </row>
    <row r="916" spans="1:10" x14ac:dyDescent="0.25">
      <c r="A916">
        <v>1012</v>
      </c>
      <c r="B916" t="s">
        <v>2470</v>
      </c>
      <c r="C916">
        <v>18</v>
      </c>
      <c r="D916" t="s">
        <v>16</v>
      </c>
      <c r="E916">
        <v>46041</v>
      </c>
      <c r="F916">
        <v>45809</v>
      </c>
      <c r="G916" t="s">
        <v>2471</v>
      </c>
      <c r="H916" t="s">
        <v>24</v>
      </c>
      <c r="I916" t="s">
        <v>2472</v>
      </c>
      <c r="J916" t="s">
        <v>35</v>
      </c>
    </row>
    <row r="917" spans="1:10" x14ac:dyDescent="0.25">
      <c r="A917">
        <v>1066</v>
      </c>
      <c r="B917" t="s">
        <v>1836</v>
      </c>
      <c r="C917">
        <v>37</v>
      </c>
      <c r="D917" t="s">
        <v>37</v>
      </c>
      <c r="E917">
        <v>45802</v>
      </c>
      <c r="F917">
        <v>45577</v>
      </c>
      <c r="G917" t="s">
        <v>2473</v>
      </c>
      <c r="H917" t="s">
        <v>28</v>
      </c>
      <c r="I917" t="s">
        <v>2474</v>
      </c>
      <c r="J917" t="s">
        <v>20</v>
      </c>
    </row>
    <row r="918" spans="1:10" x14ac:dyDescent="0.25">
      <c r="A918">
        <v>1071</v>
      </c>
      <c r="B918" t="s">
        <v>2475</v>
      </c>
      <c r="C918">
        <v>74</v>
      </c>
      <c r="D918" t="s">
        <v>22</v>
      </c>
      <c r="E918">
        <v>45892</v>
      </c>
      <c r="F918">
        <v>45559</v>
      </c>
      <c r="G918" t="s">
        <v>2476</v>
      </c>
      <c r="H918" t="s">
        <v>13</v>
      </c>
      <c r="I918">
        <v>153.44</v>
      </c>
      <c r="J918" t="s">
        <v>57</v>
      </c>
    </row>
    <row r="919" spans="1:10" x14ac:dyDescent="0.25">
      <c r="A919">
        <v>1094</v>
      </c>
      <c r="B919" t="s">
        <v>2477</v>
      </c>
      <c r="C919">
        <v>60</v>
      </c>
      <c r="E919">
        <v>46017</v>
      </c>
      <c r="F919">
        <v>45434</v>
      </c>
      <c r="G919" t="s">
        <v>2478</v>
      </c>
      <c r="H919" t="s">
        <v>28</v>
      </c>
      <c r="I919" t="s">
        <v>2479</v>
      </c>
      <c r="J919">
        <v>0</v>
      </c>
    </row>
    <row r="920" spans="1:10" x14ac:dyDescent="0.25">
      <c r="A920">
        <v>1075</v>
      </c>
      <c r="B920" t="s">
        <v>2480</v>
      </c>
      <c r="C920">
        <v>43</v>
      </c>
      <c r="D920">
        <v>1</v>
      </c>
      <c r="E920">
        <v>46005</v>
      </c>
      <c r="F920">
        <v>45716</v>
      </c>
      <c r="G920" t="s">
        <v>2481</v>
      </c>
      <c r="H920" t="s">
        <v>24</v>
      </c>
      <c r="I920" t="s">
        <v>2482</v>
      </c>
      <c r="J920" t="s">
        <v>35</v>
      </c>
    </row>
    <row r="921" spans="1:10" x14ac:dyDescent="0.25">
      <c r="A921">
        <v>1077</v>
      </c>
      <c r="B921" t="s">
        <v>2483</v>
      </c>
      <c r="C921">
        <v>30</v>
      </c>
      <c r="D921" t="s">
        <v>49</v>
      </c>
      <c r="E921">
        <v>45806</v>
      </c>
      <c r="F921">
        <v>45683</v>
      </c>
      <c r="G921" t="s">
        <v>2484</v>
      </c>
      <c r="H921" t="s">
        <v>18</v>
      </c>
      <c r="I921">
        <v>125.8</v>
      </c>
      <c r="J921">
        <v>0</v>
      </c>
    </row>
    <row r="922" spans="1:10" x14ac:dyDescent="0.25">
      <c r="A922">
        <v>1044</v>
      </c>
      <c r="B922" t="s">
        <v>2485</v>
      </c>
      <c r="C922">
        <v>43</v>
      </c>
      <c r="D922" t="s">
        <v>49</v>
      </c>
      <c r="E922">
        <v>45749</v>
      </c>
      <c r="F922">
        <v>45481</v>
      </c>
      <c r="G922" t="s">
        <v>2486</v>
      </c>
      <c r="H922" t="s">
        <v>28</v>
      </c>
      <c r="I922" t="s">
        <v>2487</v>
      </c>
      <c r="J922">
        <v>0</v>
      </c>
    </row>
    <row r="923" spans="1:10" x14ac:dyDescent="0.25">
      <c r="A923">
        <v>1084</v>
      </c>
      <c r="B923" t="s">
        <v>2488</v>
      </c>
      <c r="C923">
        <v>68</v>
      </c>
      <c r="D923" t="s">
        <v>68</v>
      </c>
      <c r="E923">
        <v>45860</v>
      </c>
      <c r="F923">
        <v>45836</v>
      </c>
      <c r="G923" t="s">
        <v>2489</v>
      </c>
      <c r="H923" t="s">
        <v>28</v>
      </c>
      <c r="I923" t="s">
        <v>2490</v>
      </c>
      <c r="J923">
        <v>0</v>
      </c>
    </row>
    <row r="924" spans="1:10" x14ac:dyDescent="0.25">
      <c r="A924">
        <v>1060</v>
      </c>
      <c r="B924" t="s">
        <v>2491</v>
      </c>
      <c r="C924">
        <v>85</v>
      </c>
      <c r="D924" t="s">
        <v>11</v>
      </c>
      <c r="E924">
        <v>45919</v>
      </c>
      <c r="F924">
        <v>45916</v>
      </c>
      <c r="G924" t="s">
        <v>2492</v>
      </c>
      <c r="H924" t="s">
        <v>13</v>
      </c>
      <c r="I924" t="s">
        <v>2493</v>
      </c>
      <c r="J924" t="s">
        <v>20</v>
      </c>
    </row>
    <row r="925" spans="1:10" x14ac:dyDescent="0.25">
      <c r="A925">
        <v>1055</v>
      </c>
      <c r="B925" t="s">
        <v>2494</v>
      </c>
      <c r="C925">
        <v>69</v>
      </c>
      <c r="D925" t="s">
        <v>68</v>
      </c>
      <c r="E925">
        <v>45747</v>
      </c>
      <c r="F925">
        <v>45601</v>
      </c>
      <c r="G925" t="s">
        <v>2495</v>
      </c>
      <c r="H925" t="s">
        <v>18</v>
      </c>
      <c r="I925" t="s">
        <v>2496</v>
      </c>
      <c r="J925" t="s">
        <v>35</v>
      </c>
    </row>
    <row r="926" spans="1:10" x14ac:dyDescent="0.25">
      <c r="A926">
        <v>1046</v>
      </c>
      <c r="B926" t="s">
        <v>2497</v>
      </c>
      <c r="C926">
        <v>29</v>
      </c>
      <c r="D926">
        <v>1</v>
      </c>
      <c r="E926">
        <v>45754</v>
      </c>
      <c r="F926">
        <v>45445</v>
      </c>
      <c r="G926" t="s">
        <v>2498</v>
      </c>
      <c r="H926" t="s">
        <v>13</v>
      </c>
      <c r="I926">
        <v>306.94</v>
      </c>
      <c r="J926">
        <v>1</v>
      </c>
    </row>
    <row r="927" spans="1:10" x14ac:dyDescent="0.25">
      <c r="A927">
        <v>1087</v>
      </c>
      <c r="B927" t="s">
        <v>2499</v>
      </c>
      <c r="C927">
        <v>31</v>
      </c>
      <c r="D927">
        <v>0</v>
      </c>
      <c r="E927">
        <v>45808</v>
      </c>
      <c r="F927">
        <v>45801</v>
      </c>
      <c r="G927" t="s">
        <v>1857</v>
      </c>
      <c r="H927" t="s">
        <v>13</v>
      </c>
      <c r="I927" t="s">
        <v>2500</v>
      </c>
      <c r="J927" t="s">
        <v>35</v>
      </c>
    </row>
    <row r="928" spans="1:10" x14ac:dyDescent="0.25">
      <c r="A928">
        <v>1020</v>
      </c>
      <c r="B928" t="s">
        <v>2501</v>
      </c>
      <c r="C928">
        <v>56</v>
      </c>
      <c r="D928" t="s">
        <v>22</v>
      </c>
      <c r="E928">
        <v>45767</v>
      </c>
      <c r="F928">
        <v>45633</v>
      </c>
      <c r="G928" t="s">
        <v>2502</v>
      </c>
      <c r="H928" t="s">
        <v>24</v>
      </c>
      <c r="I928" t="s">
        <v>2503</v>
      </c>
      <c r="J928" t="s">
        <v>20</v>
      </c>
    </row>
    <row r="929" spans="1:10" x14ac:dyDescent="0.25">
      <c r="A929">
        <v>1047</v>
      </c>
      <c r="B929" t="s">
        <v>2504</v>
      </c>
      <c r="C929">
        <v>63</v>
      </c>
      <c r="D929" t="s">
        <v>16</v>
      </c>
      <c r="E929">
        <v>45768</v>
      </c>
      <c r="F929">
        <v>45722</v>
      </c>
      <c r="G929" t="s">
        <v>2505</v>
      </c>
      <c r="H929" t="s">
        <v>24</v>
      </c>
      <c r="I929" t="s">
        <v>2506</v>
      </c>
      <c r="J929" t="s">
        <v>30</v>
      </c>
    </row>
    <row r="930" spans="1:10" x14ac:dyDescent="0.25">
      <c r="A930">
        <v>1053</v>
      </c>
      <c r="B930" t="s">
        <v>2507</v>
      </c>
      <c r="C930">
        <v>86</v>
      </c>
      <c r="D930">
        <v>0</v>
      </c>
      <c r="E930">
        <v>45943</v>
      </c>
      <c r="F930">
        <v>45516</v>
      </c>
      <c r="G930" t="s">
        <v>2508</v>
      </c>
      <c r="H930" t="s">
        <v>28</v>
      </c>
      <c r="I930">
        <v>85.53</v>
      </c>
      <c r="J930">
        <v>1</v>
      </c>
    </row>
    <row r="931" spans="1:10" x14ac:dyDescent="0.25">
      <c r="A931">
        <v>1031</v>
      </c>
      <c r="B931" t="s">
        <v>2509</v>
      </c>
      <c r="C931">
        <v>31</v>
      </c>
      <c r="D931">
        <v>0</v>
      </c>
      <c r="E931">
        <v>46098</v>
      </c>
      <c r="F931">
        <v>45871</v>
      </c>
      <c r="G931" t="s">
        <v>1642</v>
      </c>
      <c r="H931" t="s">
        <v>13</v>
      </c>
      <c r="I931" t="s">
        <v>2510</v>
      </c>
      <c r="J931" t="s">
        <v>35</v>
      </c>
    </row>
    <row r="932" spans="1:10" x14ac:dyDescent="0.25">
      <c r="A932">
        <v>1041</v>
      </c>
      <c r="B932" t="s">
        <v>2511</v>
      </c>
      <c r="C932">
        <v>81</v>
      </c>
      <c r="D932" t="s">
        <v>68</v>
      </c>
      <c r="E932">
        <v>45926</v>
      </c>
      <c r="F932">
        <v>45689</v>
      </c>
      <c r="G932" t="s">
        <v>2512</v>
      </c>
      <c r="H932" t="s">
        <v>18</v>
      </c>
      <c r="J932">
        <v>0</v>
      </c>
    </row>
    <row r="933" spans="1:10" x14ac:dyDescent="0.25">
      <c r="A933">
        <v>1047</v>
      </c>
      <c r="B933" t="s">
        <v>2513</v>
      </c>
      <c r="C933">
        <v>76</v>
      </c>
      <c r="D933" t="s">
        <v>68</v>
      </c>
      <c r="E933">
        <v>45887</v>
      </c>
      <c r="F933">
        <v>45822</v>
      </c>
      <c r="G933" t="s">
        <v>2514</v>
      </c>
      <c r="H933" t="s">
        <v>18</v>
      </c>
      <c r="I933">
        <v>83.67</v>
      </c>
      <c r="J933" t="s">
        <v>57</v>
      </c>
    </row>
    <row r="934" spans="1:10" x14ac:dyDescent="0.25">
      <c r="A934">
        <v>1012</v>
      </c>
      <c r="B934" t="s">
        <v>2515</v>
      </c>
      <c r="C934">
        <v>76</v>
      </c>
      <c r="D934" t="s">
        <v>22</v>
      </c>
      <c r="E934">
        <v>46060</v>
      </c>
      <c r="F934">
        <v>46037</v>
      </c>
      <c r="G934" t="s">
        <v>2516</v>
      </c>
      <c r="H934" t="s">
        <v>18</v>
      </c>
      <c r="I934" t="s">
        <v>2517</v>
      </c>
      <c r="J934" t="s">
        <v>30</v>
      </c>
    </row>
    <row r="935" spans="1:10" x14ac:dyDescent="0.25">
      <c r="A935">
        <v>1034</v>
      </c>
      <c r="B935" t="s">
        <v>2518</v>
      </c>
      <c r="C935">
        <v>90</v>
      </c>
      <c r="D935">
        <v>1</v>
      </c>
      <c r="E935">
        <v>46088</v>
      </c>
      <c r="F935">
        <v>45468</v>
      </c>
      <c r="G935" t="s">
        <v>2519</v>
      </c>
      <c r="H935" t="s">
        <v>28</v>
      </c>
      <c r="J935">
        <v>0</v>
      </c>
    </row>
    <row r="936" spans="1:10" x14ac:dyDescent="0.25">
      <c r="A936">
        <v>1091</v>
      </c>
      <c r="B936" t="s">
        <v>2520</v>
      </c>
      <c r="C936">
        <v>62</v>
      </c>
      <c r="D936" t="s">
        <v>68</v>
      </c>
      <c r="E936">
        <v>46103</v>
      </c>
      <c r="F936">
        <v>45989</v>
      </c>
      <c r="G936" t="s">
        <v>2521</v>
      </c>
      <c r="H936" t="s">
        <v>24</v>
      </c>
      <c r="I936">
        <v>433.63</v>
      </c>
      <c r="J936" t="s">
        <v>20</v>
      </c>
    </row>
    <row r="937" spans="1:10" x14ac:dyDescent="0.25">
      <c r="A937">
        <v>1034</v>
      </c>
      <c r="B937" t="s">
        <v>2522</v>
      </c>
      <c r="C937">
        <v>71</v>
      </c>
      <c r="D937" t="s">
        <v>68</v>
      </c>
      <c r="E937">
        <v>46017</v>
      </c>
      <c r="F937">
        <v>45409</v>
      </c>
      <c r="G937" t="s">
        <v>2523</v>
      </c>
      <c r="H937" t="s">
        <v>24</v>
      </c>
      <c r="I937" t="s">
        <v>2524</v>
      </c>
      <c r="J937">
        <v>0</v>
      </c>
    </row>
    <row r="938" spans="1:10" x14ac:dyDescent="0.25">
      <c r="A938">
        <v>1072</v>
      </c>
      <c r="B938" t="s">
        <v>2525</v>
      </c>
      <c r="C938">
        <v>59</v>
      </c>
      <c r="D938" t="s">
        <v>11</v>
      </c>
      <c r="E938">
        <v>45772</v>
      </c>
      <c r="F938">
        <v>45412</v>
      </c>
      <c r="G938" t="s">
        <v>2526</v>
      </c>
      <c r="H938" t="s">
        <v>13</v>
      </c>
      <c r="I938" t="s">
        <v>2527</v>
      </c>
      <c r="J938" t="s">
        <v>20</v>
      </c>
    </row>
    <row r="939" spans="1:10" x14ac:dyDescent="0.25">
      <c r="A939">
        <v>1048</v>
      </c>
      <c r="B939" t="s">
        <v>2528</v>
      </c>
      <c r="C939">
        <v>84</v>
      </c>
      <c r="D939" t="s">
        <v>16</v>
      </c>
      <c r="E939">
        <v>45806</v>
      </c>
      <c r="F939">
        <v>45686</v>
      </c>
      <c r="G939" t="s">
        <v>2529</v>
      </c>
      <c r="H939" t="s">
        <v>24</v>
      </c>
      <c r="J939" t="s">
        <v>57</v>
      </c>
    </row>
    <row r="940" spans="1:10" x14ac:dyDescent="0.25">
      <c r="A940">
        <v>1068</v>
      </c>
      <c r="B940" t="s">
        <v>2530</v>
      </c>
      <c r="C940">
        <v>40</v>
      </c>
      <c r="D940" t="s">
        <v>49</v>
      </c>
      <c r="E940">
        <v>46067</v>
      </c>
      <c r="F940">
        <v>45909</v>
      </c>
      <c r="G940" t="s">
        <v>2531</v>
      </c>
      <c r="H940" t="s">
        <v>24</v>
      </c>
      <c r="J940">
        <v>1</v>
      </c>
    </row>
    <row r="941" spans="1:10" x14ac:dyDescent="0.25">
      <c r="A941">
        <v>1063</v>
      </c>
      <c r="B941" t="s">
        <v>2532</v>
      </c>
      <c r="C941">
        <v>75</v>
      </c>
      <c r="D941" t="s">
        <v>11</v>
      </c>
      <c r="E941">
        <v>45811</v>
      </c>
      <c r="F941">
        <v>45605</v>
      </c>
      <c r="G941" t="s">
        <v>2533</v>
      </c>
      <c r="H941" t="s">
        <v>13</v>
      </c>
      <c r="I941" t="s">
        <v>2534</v>
      </c>
      <c r="J941" t="s">
        <v>35</v>
      </c>
    </row>
    <row r="942" spans="1:10" x14ac:dyDescent="0.25">
      <c r="A942">
        <v>1063</v>
      </c>
      <c r="B942" t="s">
        <v>2535</v>
      </c>
      <c r="C942">
        <v>58</v>
      </c>
      <c r="D942" t="s">
        <v>37</v>
      </c>
      <c r="E942">
        <v>46078</v>
      </c>
      <c r="F942">
        <v>45594</v>
      </c>
      <c r="G942" t="s">
        <v>2536</v>
      </c>
      <c r="H942" t="s">
        <v>24</v>
      </c>
      <c r="I942" t="s">
        <v>2537</v>
      </c>
      <c r="J942">
        <v>0</v>
      </c>
    </row>
    <row r="943" spans="1:10" x14ac:dyDescent="0.25">
      <c r="A943">
        <v>1045</v>
      </c>
      <c r="B943" t="s">
        <v>2538</v>
      </c>
      <c r="C943">
        <v>24</v>
      </c>
      <c r="D943" t="s">
        <v>11</v>
      </c>
      <c r="E943">
        <v>45993</v>
      </c>
      <c r="F943">
        <v>45760</v>
      </c>
      <c r="G943" t="s">
        <v>2539</v>
      </c>
      <c r="H943" t="s">
        <v>28</v>
      </c>
      <c r="I943" t="s">
        <v>2540</v>
      </c>
      <c r="J943">
        <v>0</v>
      </c>
    </row>
    <row r="944" spans="1:10" x14ac:dyDescent="0.25">
      <c r="A944">
        <v>1028</v>
      </c>
      <c r="B944" t="s">
        <v>2541</v>
      </c>
      <c r="C944">
        <v>88</v>
      </c>
      <c r="D944">
        <v>1</v>
      </c>
      <c r="E944">
        <v>45959</v>
      </c>
      <c r="F944">
        <v>45738</v>
      </c>
      <c r="G944" t="s">
        <v>31</v>
      </c>
      <c r="H944" t="s">
        <v>13</v>
      </c>
      <c r="I944" t="s">
        <v>2542</v>
      </c>
      <c r="J944" t="s">
        <v>35</v>
      </c>
    </row>
    <row r="945" spans="1:10" x14ac:dyDescent="0.25">
      <c r="A945">
        <v>1025</v>
      </c>
      <c r="B945" t="s">
        <v>2543</v>
      </c>
      <c r="C945">
        <v>84</v>
      </c>
      <c r="D945" t="s">
        <v>37</v>
      </c>
      <c r="E945">
        <v>45926</v>
      </c>
      <c r="F945">
        <v>45824</v>
      </c>
      <c r="G945" t="s">
        <v>2544</v>
      </c>
      <c r="H945" t="s">
        <v>24</v>
      </c>
      <c r="I945">
        <v>326.83999999999997</v>
      </c>
      <c r="J945" t="s">
        <v>20</v>
      </c>
    </row>
    <row r="946" spans="1:10" x14ac:dyDescent="0.25">
      <c r="A946">
        <v>1046</v>
      </c>
      <c r="B946" t="s">
        <v>2545</v>
      </c>
      <c r="C946">
        <v>64</v>
      </c>
      <c r="D946">
        <v>1</v>
      </c>
      <c r="E946">
        <v>45808</v>
      </c>
      <c r="F946">
        <v>45525</v>
      </c>
      <c r="G946" t="s">
        <v>2546</v>
      </c>
      <c r="H946" t="s">
        <v>18</v>
      </c>
      <c r="I946" t="s">
        <v>2547</v>
      </c>
      <c r="J946" t="s">
        <v>57</v>
      </c>
    </row>
    <row r="947" spans="1:10" x14ac:dyDescent="0.25">
      <c r="A947">
        <v>1036</v>
      </c>
      <c r="B947" t="s">
        <v>2548</v>
      </c>
      <c r="C947">
        <v>76</v>
      </c>
      <c r="D947">
        <v>0</v>
      </c>
      <c r="E947">
        <v>46032</v>
      </c>
      <c r="F947">
        <v>45869</v>
      </c>
      <c r="G947" t="s">
        <v>2549</v>
      </c>
      <c r="H947" t="s">
        <v>28</v>
      </c>
      <c r="I947">
        <v>136.77000000000001</v>
      </c>
      <c r="J947" t="s">
        <v>20</v>
      </c>
    </row>
    <row r="948" spans="1:10" x14ac:dyDescent="0.25">
      <c r="A948">
        <v>1026</v>
      </c>
      <c r="B948" t="s">
        <v>2550</v>
      </c>
      <c r="C948">
        <v>49</v>
      </c>
      <c r="D948" t="s">
        <v>68</v>
      </c>
      <c r="E948">
        <v>46067</v>
      </c>
      <c r="F948">
        <v>45727</v>
      </c>
      <c r="G948" t="s">
        <v>2551</v>
      </c>
      <c r="H948" t="s">
        <v>24</v>
      </c>
      <c r="I948" t="s">
        <v>2552</v>
      </c>
      <c r="J948" t="s">
        <v>30</v>
      </c>
    </row>
    <row r="949" spans="1:10" x14ac:dyDescent="0.25">
      <c r="A949">
        <v>1097</v>
      </c>
      <c r="B949" t="s">
        <v>2553</v>
      </c>
      <c r="C949">
        <v>27</v>
      </c>
      <c r="D949" t="s">
        <v>49</v>
      </c>
      <c r="E949">
        <v>45963</v>
      </c>
      <c r="F949">
        <v>45407</v>
      </c>
      <c r="G949" t="s">
        <v>2554</v>
      </c>
      <c r="H949" t="s">
        <v>28</v>
      </c>
      <c r="I949" t="s">
        <v>2555</v>
      </c>
      <c r="J949" t="s">
        <v>35</v>
      </c>
    </row>
    <row r="950" spans="1:10" x14ac:dyDescent="0.25">
      <c r="A950">
        <v>1014</v>
      </c>
      <c r="B950" t="s">
        <v>2556</v>
      </c>
      <c r="C950">
        <v>29</v>
      </c>
      <c r="D950">
        <v>1</v>
      </c>
      <c r="E950">
        <v>46021</v>
      </c>
      <c r="F950">
        <v>45877</v>
      </c>
      <c r="G950" t="s">
        <v>2557</v>
      </c>
      <c r="H950" t="s">
        <v>24</v>
      </c>
      <c r="I950" t="s">
        <v>2558</v>
      </c>
      <c r="J950" t="s">
        <v>57</v>
      </c>
    </row>
    <row r="951" spans="1:10" x14ac:dyDescent="0.25">
      <c r="A951">
        <v>1085</v>
      </c>
      <c r="B951" t="s">
        <v>2559</v>
      </c>
      <c r="C951">
        <v>63</v>
      </c>
      <c r="D951" t="s">
        <v>68</v>
      </c>
      <c r="E951">
        <v>45881</v>
      </c>
      <c r="F951">
        <v>45599</v>
      </c>
      <c r="G951" t="s">
        <v>2560</v>
      </c>
      <c r="H951" t="s">
        <v>18</v>
      </c>
      <c r="I951" t="s">
        <v>2561</v>
      </c>
      <c r="J951" t="s">
        <v>20</v>
      </c>
    </row>
    <row r="952" spans="1:10" x14ac:dyDescent="0.25">
      <c r="A952">
        <v>1005</v>
      </c>
      <c r="B952" t="s">
        <v>2562</v>
      </c>
      <c r="C952">
        <v>54</v>
      </c>
      <c r="D952" t="s">
        <v>68</v>
      </c>
      <c r="E952">
        <v>45784</v>
      </c>
      <c r="F952">
        <v>45465</v>
      </c>
      <c r="G952" t="s">
        <v>2563</v>
      </c>
      <c r="H952" t="s">
        <v>28</v>
      </c>
      <c r="I952" t="s">
        <v>2564</v>
      </c>
      <c r="J952" t="s">
        <v>30</v>
      </c>
    </row>
    <row r="953" spans="1:10" x14ac:dyDescent="0.25">
      <c r="A953">
        <v>1075</v>
      </c>
      <c r="B953" t="s">
        <v>2565</v>
      </c>
      <c r="C953">
        <v>59</v>
      </c>
      <c r="D953" t="s">
        <v>22</v>
      </c>
      <c r="E953">
        <v>46101</v>
      </c>
      <c r="F953">
        <v>46015</v>
      </c>
      <c r="G953" t="s">
        <v>2566</v>
      </c>
      <c r="H953" t="s">
        <v>13</v>
      </c>
      <c r="I953" t="s">
        <v>2567</v>
      </c>
      <c r="J953">
        <v>1</v>
      </c>
    </row>
    <row r="954" spans="1:10" x14ac:dyDescent="0.25">
      <c r="A954">
        <v>1082</v>
      </c>
      <c r="B954" t="s">
        <v>2568</v>
      </c>
      <c r="C954">
        <v>37</v>
      </c>
      <c r="D954" t="s">
        <v>68</v>
      </c>
      <c r="E954">
        <v>45766</v>
      </c>
      <c r="F954">
        <v>45411</v>
      </c>
      <c r="G954" t="s">
        <v>2569</v>
      </c>
      <c r="H954" t="s">
        <v>18</v>
      </c>
      <c r="I954" t="s">
        <v>2570</v>
      </c>
      <c r="J954">
        <v>0</v>
      </c>
    </row>
    <row r="955" spans="1:10" x14ac:dyDescent="0.25">
      <c r="A955">
        <v>1089</v>
      </c>
      <c r="B955" t="s">
        <v>2571</v>
      </c>
      <c r="C955">
        <v>69</v>
      </c>
      <c r="D955" t="s">
        <v>49</v>
      </c>
      <c r="E955">
        <v>45934</v>
      </c>
      <c r="F955">
        <v>45869</v>
      </c>
      <c r="G955" t="s">
        <v>2572</v>
      </c>
      <c r="H955" t="s">
        <v>28</v>
      </c>
      <c r="I955" t="s">
        <v>2573</v>
      </c>
      <c r="J955" t="s">
        <v>20</v>
      </c>
    </row>
    <row r="956" spans="1:10" x14ac:dyDescent="0.25">
      <c r="A956">
        <v>1092</v>
      </c>
      <c r="B956" t="s">
        <v>2574</v>
      </c>
      <c r="C956">
        <v>53</v>
      </c>
      <c r="D956" t="s">
        <v>37</v>
      </c>
      <c r="E956">
        <v>45955</v>
      </c>
      <c r="F956">
        <v>45435</v>
      </c>
      <c r="G956" t="s">
        <v>2575</v>
      </c>
      <c r="H956" t="s">
        <v>18</v>
      </c>
      <c r="I956" t="s">
        <v>2576</v>
      </c>
      <c r="J956" t="s">
        <v>20</v>
      </c>
    </row>
    <row r="957" spans="1:10" x14ac:dyDescent="0.25">
      <c r="A957">
        <v>1066</v>
      </c>
      <c r="B957" t="s">
        <v>2577</v>
      </c>
      <c r="C957">
        <v>46</v>
      </c>
      <c r="D957">
        <v>1</v>
      </c>
      <c r="E957">
        <v>46107</v>
      </c>
      <c r="F957">
        <v>45829</v>
      </c>
      <c r="G957" t="s">
        <v>2578</v>
      </c>
      <c r="H957" t="s">
        <v>13</v>
      </c>
      <c r="I957" t="s">
        <v>2579</v>
      </c>
      <c r="J957">
        <v>0</v>
      </c>
    </row>
    <row r="958" spans="1:10" x14ac:dyDescent="0.25">
      <c r="A958">
        <v>1016</v>
      </c>
      <c r="B958" t="s">
        <v>2580</v>
      </c>
      <c r="C958">
        <v>22</v>
      </c>
      <c r="D958" t="s">
        <v>22</v>
      </c>
      <c r="E958">
        <v>45777</v>
      </c>
      <c r="F958">
        <v>45483</v>
      </c>
      <c r="G958" t="s">
        <v>2581</v>
      </c>
      <c r="H958" t="s">
        <v>13</v>
      </c>
      <c r="J958" t="s">
        <v>57</v>
      </c>
    </row>
    <row r="959" spans="1:10" x14ac:dyDescent="0.25">
      <c r="A959">
        <v>1041</v>
      </c>
      <c r="B959" t="s">
        <v>2582</v>
      </c>
      <c r="C959">
        <v>43</v>
      </c>
      <c r="D959">
        <v>0</v>
      </c>
      <c r="E959">
        <v>45917</v>
      </c>
      <c r="F959">
        <v>45421</v>
      </c>
      <c r="G959" t="s">
        <v>2583</v>
      </c>
      <c r="H959" t="s">
        <v>18</v>
      </c>
      <c r="I959" t="s">
        <v>2584</v>
      </c>
      <c r="J959">
        <v>0</v>
      </c>
    </row>
    <row r="960" spans="1:10" x14ac:dyDescent="0.25">
      <c r="A960">
        <v>1052</v>
      </c>
      <c r="B960" t="s">
        <v>2585</v>
      </c>
      <c r="C960">
        <v>88</v>
      </c>
      <c r="D960">
        <v>0</v>
      </c>
      <c r="E960">
        <v>46006</v>
      </c>
      <c r="F960">
        <v>45975</v>
      </c>
      <c r="G960" t="s">
        <v>2586</v>
      </c>
      <c r="H960" t="s">
        <v>18</v>
      </c>
      <c r="I960" t="s">
        <v>2587</v>
      </c>
      <c r="J960">
        <v>1</v>
      </c>
    </row>
    <row r="961" spans="1:10" x14ac:dyDescent="0.25">
      <c r="A961">
        <v>1051</v>
      </c>
      <c r="B961" t="s">
        <v>2588</v>
      </c>
      <c r="C961">
        <v>64</v>
      </c>
      <c r="D961" t="s">
        <v>16</v>
      </c>
      <c r="E961">
        <v>45755</v>
      </c>
      <c r="F961">
        <v>45496</v>
      </c>
      <c r="G961" t="s">
        <v>2589</v>
      </c>
      <c r="H961" t="s">
        <v>13</v>
      </c>
      <c r="I961">
        <v>390.1</v>
      </c>
      <c r="J961" t="s">
        <v>30</v>
      </c>
    </row>
    <row r="962" spans="1:10" x14ac:dyDescent="0.25">
      <c r="A962">
        <v>1035</v>
      </c>
      <c r="B962" t="s">
        <v>2590</v>
      </c>
      <c r="C962">
        <v>33</v>
      </c>
      <c r="D962" t="s">
        <v>49</v>
      </c>
      <c r="E962">
        <v>45781</v>
      </c>
      <c r="F962">
        <v>45447</v>
      </c>
      <c r="G962" t="s">
        <v>876</v>
      </c>
      <c r="H962" t="s">
        <v>28</v>
      </c>
      <c r="I962" t="s">
        <v>2591</v>
      </c>
      <c r="J962">
        <v>1</v>
      </c>
    </row>
    <row r="963" spans="1:10" x14ac:dyDescent="0.25">
      <c r="A963">
        <v>1074</v>
      </c>
      <c r="B963" t="s">
        <v>2592</v>
      </c>
      <c r="C963">
        <v>80</v>
      </c>
      <c r="D963" t="s">
        <v>22</v>
      </c>
      <c r="E963">
        <v>45972</v>
      </c>
      <c r="F963">
        <v>45797</v>
      </c>
      <c r="G963" t="s">
        <v>2593</v>
      </c>
      <c r="H963" t="s">
        <v>24</v>
      </c>
      <c r="I963" t="s">
        <v>2594</v>
      </c>
      <c r="J963" t="s">
        <v>30</v>
      </c>
    </row>
    <row r="964" spans="1:10" x14ac:dyDescent="0.25">
      <c r="A964">
        <v>1098</v>
      </c>
      <c r="B964" t="s">
        <v>2595</v>
      </c>
      <c r="C964">
        <v>87</v>
      </c>
      <c r="D964" t="s">
        <v>22</v>
      </c>
      <c r="E964">
        <v>45840</v>
      </c>
      <c r="F964">
        <v>45621</v>
      </c>
      <c r="G964" t="s">
        <v>2596</v>
      </c>
      <c r="H964" t="s">
        <v>18</v>
      </c>
      <c r="I964" t="s">
        <v>2597</v>
      </c>
      <c r="J964">
        <v>0</v>
      </c>
    </row>
    <row r="965" spans="1:10" x14ac:dyDescent="0.25">
      <c r="A965">
        <v>1100</v>
      </c>
      <c r="B965" t="s">
        <v>2598</v>
      </c>
      <c r="C965">
        <v>31</v>
      </c>
      <c r="D965" t="s">
        <v>22</v>
      </c>
      <c r="E965">
        <v>45931</v>
      </c>
      <c r="F965">
        <v>45590</v>
      </c>
      <c r="G965" t="s">
        <v>2599</v>
      </c>
      <c r="H965" t="s">
        <v>13</v>
      </c>
      <c r="I965" t="s">
        <v>2600</v>
      </c>
      <c r="J965" t="s">
        <v>30</v>
      </c>
    </row>
    <row r="966" spans="1:10" x14ac:dyDescent="0.25">
      <c r="A966">
        <v>1049</v>
      </c>
      <c r="B966" t="s">
        <v>2601</v>
      </c>
      <c r="C966">
        <v>20</v>
      </c>
      <c r="D966">
        <v>1</v>
      </c>
      <c r="E966">
        <v>46020</v>
      </c>
      <c r="F966">
        <v>45831</v>
      </c>
      <c r="G966" t="s">
        <v>2602</v>
      </c>
      <c r="H966" t="s">
        <v>28</v>
      </c>
      <c r="I966" t="s">
        <v>2603</v>
      </c>
      <c r="J966" t="s">
        <v>57</v>
      </c>
    </row>
    <row r="967" spans="1:10" x14ac:dyDescent="0.25">
      <c r="A967">
        <v>1021</v>
      </c>
      <c r="B967" t="s">
        <v>2604</v>
      </c>
      <c r="C967">
        <v>80</v>
      </c>
      <c r="D967">
        <v>1</v>
      </c>
      <c r="E967">
        <v>45823</v>
      </c>
      <c r="F967">
        <v>45521</v>
      </c>
      <c r="G967" t="s">
        <v>2605</v>
      </c>
      <c r="H967" t="s">
        <v>18</v>
      </c>
      <c r="I967">
        <v>269.35000000000002</v>
      </c>
      <c r="J967">
        <v>1</v>
      </c>
    </row>
    <row r="968" spans="1:10" x14ac:dyDescent="0.25">
      <c r="A968">
        <v>1069</v>
      </c>
      <c r="B968" t="s">
        <v>2606</v>
      </c>
      <c r="C968">
        <v>18</v>
      </c>
      <c r="D968">
        <v>1</v>
      </c>
      <c r="E968">
        <v>45947</v>
      </c>
      <c r="F968">
        <v>45419</v>
      </c>
      <c r="G968" t="s">
        <v>2607</v>
      </c>
      <c r="H968" t="s">
        <v>13</v>
      </c>
      <c r="I968" t="s">
        <v>2608</v>
      </c>
      <c r="J968" t="s">
        <v>30</v>
      </c>
    </row>
    <row r="969" spans="1:10" x14ac:dyDescent="0.25">
      <c r="A969">
        <v>1056</v>
      </c>
      <c r="B969" t="s">
        <v>2609</v>
      </c>
      <c r="C969">
        <v>71</v>
      </c>
      <c r="D969">
        <v>0</v>
      </c>
      <c r="E969">
        <v>46031</v>
      </c>
      <c r="F969">
        <v>46006</v>
      </c>
      <c r="G969" t="s">
        <v>2610</v>
      </c>
      <c r="H969" t="s">
        <v>28</v>
      </c>
      <c r="I969" t="s">
        <v>2611</v>
      </c>
      <c r="J969">
        <v>0</v>
      </c>
    </row>
    <row r="970" spans="1:10" x14ac:dyDescent="0.25">
      <c r="A970">
        <v>1036</v>
      </c>
      <c r="B970" t="s">
        <v>2612</v>
      </c>
      <c r="C970">
        <v>44</v>
      </c>
      <c r="D970" t="s">
        <v>11</v>
      </c>
      <c r="E970">
        <v>45774</v>
      </c>
      <c r="F970">
        <v>45639</v>
      </c>
      <c r="G970" t="s">
        <v>2613</v>
      </c>
      <c r="H970" t="s">
        <v>18</v>
      </c>
      <c r="I970">
        <v>163</v>
      </c>
      <c r="J970" t="s">
        <v>35</v>
      </c>
    </row>
    <row r="971" spans="1:10" x14ac:dyDescent="0.25">
      <c r="A971">
        <v>1063</v>
      </c>
      <c r="B971" t="s">
        <v>2614</v>
      </c>
      <c r="C971">
        <v>32</v>
      </c>
      <c r="D971" t="s">
        <v>68</v>
      </c>
      <c r="E971">
        <v>45843</v>
      </c>
      <c r="F971">
        <v>45661</v>
      </c>
      <c r="G971" t="s">
        <v>999</v>
      </c>
      <c r="H971" t="s">
        <v>18</v>
      </c>
      <c r="I971" t="s">
        <v>2615</v>
      </c>
      <c r="J971">
        <v>1</v>
      </c>
    </row>
    <row r="972" spans="1:10" x14ac:dyDescent="0.25">
      <c r="A972">
        <v>1081</v>
      </c>
      <c r="B972" t="s">
        <v>2616</v>
      </c>
      <c r="C972">
        <v>32</v>
      </c>
      <c r="D972" t="s">
        <v>22</v>
      </c>
      <c r="E972">
        <v>46079</v>
      </c>
      <c r="F972">
        <v>45761</v>
      </c>
      <c r="G972" t="s">
        <v>1398</v>
      </c>
      <c r="H972" t="s">
        <v>24</v>
      </c>
      <c r="I972">
        <v>112.79</v>
      </c>
      <c r="J972">
        <v>0</v>
      </c>
    </row>
    <row r="973" spans="1:10" x14ac:dyDescent="0.25">
      <c r="A973">
        <v>1042</v>
      </c>
      <c r="B973" t="s">
        <v>2617</v>
      </c>
      <c r="C973">
        <v>48</v>
      </c>
      <c r="D973">
        <v>0</v>
      </c>
      <c r="E973">
        <v>45822</v>
      </c>
      <c r="F973">
        <v>45737</v>
      </c>
      <c r="G973" t="s">
        <v>2618</v>
      </c>
      <c r="H973" t="s">
        <v>13</v>
      </c>
      <c r="I973" t="s">
        <v>2619</v>
      </c>
      <c r="J973" t="s">
        <v>20</v>
      </c>
    </row>
    <row r="974" spans="1:10" x14ac:dyDescent="0.25">
      <c r="A974">
        <v>1082</v>
      </c>
      <c r="B974" t="s">
        <v>2620</v>
      </c>
      <c r="C974">
        <v>69</v>
      </c>
      <c r="D974" t="s">
        <v>11</v>
      </c>
      <c r="E974">
        <v>45802</v>
      </c>
      <c r="F974">
        <v>45458</v>
      </c>
      <c r="G974" t="s">
        <v>2621</v>
      </c>
      <c r="H974" t="s">
        <v>13</v>
      </c>
      <c r="I974" t="s">
        <v>2622</v>
      </c>
      <c r="J974">
        <v>1</v>
      </c>
    </row>
    <row r="975" spans="1:10" x14ac:dyDescent="0.25">
      <c r="A975">
        <v>1002</v>
      </c>
      <c r="B975" t="s">
        <v>2623</v>
      </c>
      <c r="C975">
        <v>88</v>
      </c>
      <c r="D975" t="s">
        <v>16</v>
      </c>
      <c r="E975">
        <v>45947</v>
      </c>
      <c r="F975">
        <v>45801</v>
      </c>
      <c r="G975" t="s">
        <v>2624</v>
      </c>
      <c r="H975" t="s">
        <v>13</v>
      </c>
      <c r="I975">
        <v>368.53</v>
      </c>
      <c r="J975" t="s">
        <v>30</v>
      </c>
    </row>
    <row r="976" spans="1:10" x14ac:dyDescent="0.25">
      <c r="A976">
        <v>1047</v>
      </c>
      <c r="B976" t="s">
        <v>2625</v>
      </c>
      <c r="C976">
        <v>36</v>
      </c>
      <c r="D976">
        <v>1</v>
      </c>
      <c r="E976">
        <v>46043</v>
      </c>
      <c r="F976">
        <v>45663</v>
      </c>
      <c r="G976" t="s">
        <v>2626</v>
      </c>
      <c r="H976" t="s">
        <v>18</v>
      </c>
      <c r="I976" t="s">
        <v>2627</v>
      </c>
      <c r="J976">
        <v>0</v>
      </c>
    </row>
    <row r="977" spans="1:10" x14ac:dyDescent="0.25">
      <c r="A977">
        <v>1043</v>
      </c>
      <c r="B977" t="s">
        <v>2628</v>
      </c>
      <c r="C977">
        <v>64</v>
      </c>
      <c r="D977" t="s">
        <v>49</v>
      </c>
      <c r="E977">
        <v>45956</v>
      </c>
      <c r="F977">
        <v>45427</v>
      </c>
      <c r="G977" t="s">
        <v>2629</v>
      </c>
      <c r="H977" t="s">
        <v>24</v>
      </c>
      <c r="I977" t="s">
        <v>2630</v>
      </c>
      <c r="J977" t="s">
        <v>20</v>
      </c>
    </row>
    <row r="978" spans="1:10" x14ac:dyDescent="0.25">
      <c r="A978">
        <v>1072</v>
      </c>
      <c r="B978" t="s">
        <v>2631</v>
      </c>
      <c r="C978">
        <v>38</v>
      </c>
      <c r="D978" t="s">
        <v>16</v>
      </c>
      <c r="E978">
        <v>45958</v>
      </c>
      <c r="F978">
        <v>45638</v>
      </c>
      <c r="G978" t="s">
        <v>2632</v>
      </c>
      <c r="H978" t="s">
        <v>28</v>
      </c>
      <c r="I978" t="s">
        <v>2633</v>
      </c>
      <c r="J978">
        <v>0</v>
      </c>
    </row>
    <row r="979" spans="1:10" x14ac:dyDescent="0.25">
      <c r="A979">
        <v>1085</v>
      </c>
      <c r="B979" t="s">
        <v>2634</v>
      </c>
      <c r="C979">
        <v>34</v>
      </c>
      <c r="D979" t="s">
        <v>49</v>
      </c>
      <c r="E979">
        <v>45989</v>
      </c>
      <c r="F979">
        <v>45823</v>
      </c>
      <c r="G979" t="s">
        <v>2635</v>
      </c>
      <c r="H979" t="s">
        <v>13</v>
      </c>
      <c r="I979" t="s">
        <v>2636</v>
      </c>
      <c r="J979">
        <v>0</v>
      </c>
    </row>
    <row r="980" spans="1:10" x14ac:dyDescent="0.25">
      <c r="A980">
        <v>1088</v>
      </c>
      <c r="B980" t="s">
        <v>2637</v>
      </c>
      <c r="C980">
        <v>19</v>
      </c>
      <c r="D980" t="s">
        <v>11</v>
      </c>
      <c r="E980">
        <v>45861</v>
      </c>
      <c r="F980">
        <v>45775</v>
      </c>
      <c r="G980" t="s">
        <v>1576</v>
      </c>
      <c r="H980" t="s">
        <v>28</v>
      </c>
      <c r="I980" t="s">
        <v>2638</v>
      </c>
      <c r="J980" t="s">
        <v>57</v>
      </c>
    </row>
    <row r="981" spans="1:10" x14ac:dyDescent="0.25">
      <c r="A981">
        <v>1059</v>
      </c>
      <c r="B981" t="s">
        <v>2639</v>
      </c>
      <c r="C981">
        <v>65</v>
      </c>
      <c r="D981" t="s">
        <v>16</v>
      </c>
      <c r="E981">
        <v>45862</v>
      </c>
      <c r="F981">
        <v>45808</v>
      </c>
      <c r="G981" t="s">
        <v>2640</v>
      </c>
      <c r="H981" t="s">
        <v>24</v>
      </c>
      <c r="I981" t="s">
        <v>2641</v>
      </c>
      <c r="J981">
        <v>0</v>
      </c>
    </row>
    <row r="982" spans="1:10" x14ac:dyDescent="0.25">
      <c r="A982">
        <v>1028</v>
      </c>
      <c r="B982" t="s">
        <v>2642</v>
      </c>
      <c r="C982">
        <v>43</v>
      </c>
      <c r="D982">
        <v>0</v>
      </c>
      <c r="E982">
        <v>45841</v>
      </c>
      <c r="F982">
        <v>45428</v>
      </c>
      <c r="G982" t="s">
        <v>2643</v>
      </c>
      <c r="H982" t="s">
        <v>24</v>
      </c>
      <c r="I982" t="s">
        <v>2644</v>
      </c>
      <c r="J982">
        <v>1</v>
      </c>
    </row>
    <row r="983" spans="1:10" x14ac:dyDescent="0.25">
      <c r="A983">
        <v>1019</v>
      </c>
      <c r="B983" t="s">
        <v>2645</v>
      </c>
      <c r="C983">
        <v>66</v>
      </c>
      <c r="D983" t="s">
        <v>16</v>
      </c>
      <c r="E983">
        <v>45865</v>
      </c>
      <c r="F983">
        <v>45855</v>
      </c>
      <c r="G983" t="s">
        <v>2646</v>
      </c>
      <c r="H983" t="s">
        <v>18</v>
      </c>
      <c r="I983" t="s">
        <v>2647</v>
      </c>
      <c r="J983" t="s">
        <v>30</v>
      </c>
    </row>
    <row r="984" spans="1:10" x14ac:dyDescent="0.25">
      <c r="A984">
        <v>1012</v>
      </c>
      <c r="B984" t="s">
        <v>2648</v>
      </c>
      <c r="C984">
        <v>78</v>
      </c>
      <c r="D984" t="s">
        <v>11</v>
      </c>
      <c r="E984">
        <v>45853</v>
      </c>
      <c r="F984">
        <v>45842</v>
      </c>
      <c r="G984" t="s">
        <v>2649</v>
      </c>
      <c r="H984" t="s">
        <v>28</v>
      </c>
      <c r="I984" t="s">
        <v>2650</v>
      </c>
      <c r="J984">
        <v>0</v>
      </c>
    </row>
    <row r="985" spans="1:10" x14ac:dyDescent="0.25">
      <c r="A985">
        <v>1049</v>
      </c>
      <c r="B985" t="s">
        <v>2651</v>
      </c>
      <c r="C985">
        <v>84</v>
      </c>
      <c r="D985" t="s">
        <v>68</v>
      </c>
      <c r="E985">
        <v>46017</v>
      </c>
      <c r="F985">
        <v>45876</v>
      </c>
      <c r="G985" t="s">
        <v>2652</v>
      </c>
      <c r="H985" t="s">
        <v>13</v>
      </c>
      <c r="I985">
        <v>359.17</v>
      </c>
      <c r="J985" t="s">
        <v>20</v>
      </c>
    </row>
    <row r="986" spans="1:10" x14ac:dyDescent="0.25">
      <c r="A986">
        <v>1081</v>
      </c>
      <c r="B986" t="s">
        <v>2653</v>
      </c>
      <c r="C986">
        <v>43</v>
      </c>
      <c r="E986">
        <v>45864</v>
      </c>
      <c r="F986">
        <v>45436</v>
      </c>
      <c r="G986" t="s">
        <v>2654</v>
      </c>
      <c r="H986" t="s">
        <v>18</v>
      </c>
      <c r="I986" t="s">
        <v>2655</v>
      </c>
      <c r="J986">
        <v>1</v>
      </c>
    </row>
    <row r="987" spans="1:10" x14ac:dyDescent="0.25">
      <c r="A987">
        <v>1045</v>
      </c>
      <c r="B987" t="s">
        <v>2656</v>
      </c>
      <c r="C987">
        <v>29</v>
      </c>
      <c r="D987" t="s">
        <v>11</v>
      </c>
      <c r="E987">
        <v>45856</v>
      </c>
      <c r="F987">
        <v>45740</v>
      </c>
      <c r="G987" t="s">
        <v>2657</v>
      </c>
      <c r="H987" t="s">
        <v>24</v>
      </c>
      <c r="I987" t="s">
        <v>2658</v>
      </c>
      <c r="J987" t="s">
        <v>30</v>
      </c>
    </row>
    <row r="988" spans="1:10" x14ac:dyDescent="0.25">
      <c r="A988">
        <v>1076</v>
      </c>
      <c r="B988" t="s">
        <v>2659</v>
      </c>
      <c r="C988">
        <v>79</v>
      </c>
      <c r="D988" t="s">
        <v>22</v>
      </c>
      <c r="E988">
        <v>46074</v>
      </c>
      <c r="F988">
        <v>45512</v>
      </c>
      <c r="G988" t="s">
        <v>2660</v>
      </c>
      <c r="H988" t="s">
        <v>18</v>
      </c>
      <c r="I988">
        <v>120.7</v>
      </c>
      <c r="J988" t="s">
        <v>20</v>
      </c>
    </row>
    <row r="989" spans="1:10" x14ac:dyDescent="0.25">
      <c r="A989">
        <v>1047</v>
      </c>
      <c r="B989" t="s">
        <v>2661</v>
      </c>
      <c r="C989">
        <v>54</v>
      </c>
      <c r="D989">
        <v>1</v>
      </c>
      <c r="E989">
        <v>45810</v>
      </c>
      <c r="F989">
        <v>45504</v>
      </c>
      <c r="G989" t="s">
        <v>2662</v>
      </c>
      <c r="H989" t="s">
        <v>13</v>
      </c>
      <c r="I989" t="s">
        <v>2663</v>
      </c>
      <c r="J989" t="s">
        <v>35</v>
      </c>
    </row>
    <row r="990" spans="1:10" x14ac:dyDescent="0.25">
      <c r="A990">
        <v>1068</v>
      </c>
      <c r="B990" t="s">
        <v>2664</v>
      </c>
      <c r="C990">
        <v>42</v>
      </c>
      <c r="D990" t="s">
        <v>68</v>
      </c>
      <c r="E990">
        <v>45951</v>
      </c>
      <c r="F990">
        <v>45747</v>
      </c>
      <c r="G990" t="s">
        <v>2665</v>
      </c>
      <c r="H990" t="s">
        <v>24</v>
      </c>
      <c r="I990">
        <v>263.3</v>
      </c>
      <c r="J990" t="s">
        <v>35</v>
      </c>
    </row>
    <row r="991" spans="1:10" x14ac:dyDescent="0.25">
      <c r="A991">
        <v>1021</v>
      </c>
      <c r="B991" t="s">
        <v>2666</v>
      </c>
      <c r="C991">
        <v>41</v>
      </c>
      <c r="D991">
        <v>1</v>
      </c>
      <c r="E991">
        <v>45750</v>
      </c>
      <c r="F991">
        <v>45526</v>
      </c>
      <c r="G991" t="s">
        <v>2667</v>
      </c>
      <c r="H991" t="s">
        <v>18</v>
      </c>
      <c r="I991" t="s">
        <v>2668</v>
      </c>
      <c r="J991">
        <v>1</v>
      </c>
    </row>
    <row r="992" spans="1:10" x14ac:dyDescent="0.25">
      <c r="A992">
        <v>1052</v>
      </c>
      <c r="B992" t="s">
        <v>2669</v>
      </c>
      <c r="C992">
        <v>48</v>
      </c>
      <c r="D992" t="s">
        <v>16</v>
      </c>
      <c r="E992">
        <v>45878</v>
      </c>
      <c r="F992">
        <v>45773</v>
      </c>
      <c r="G992" t="s">
        <v>2670</v>
      </c>
      <c r="H992" t="s">
        <v>18</v>
      </c>
      <c r="I992" t="s">
        <v>2671</v>
      </c>
      <c r="J992">
        <v>0</v>
      </c>
    </row>
    <row r="993" spans="1:10" x14ac:dyDescent="0.25">
      <c r="A993">
        <v>1075</v>
      </c>
      <c r="B993" t="s">
        <v>2672</v>
      </c>
      <c r="C993">
        <v>43</v>
      </c>
      <c r="D993" t="s">
        <v>22</v>
      </c>
      <c r="E993">
        <v>46034</v>
      </c>
      <c r="F993">
        <v>45960</v>
      </c>
      <c r="G993" t="s">
        <v>2673</v>
      </c>
      <c r="H993" t="s">
        <v>28</v>
      </c>
      <c r="I993" t="s">
        <v>2674</v>
      </c>
      <c r="J993" t="s">
        <v>20</v>
      </c>
    </row>
    <row r="994" spans="1:10" x14ac:dyDescent="0.25">
      <c r="A994">
        <v>1047</v>
      </c>
      <c r="B994" t="s">
        <v>2675</v>
      </c>
      <c r="C994">
        <v>76</v>
      </c>
      <c r="D994">
        <v>0</v>
      </c>
      <c r="E994">
        <v>46081</v>
      </c>
      <c r="F994">
        <v>45615</v>
      </c>
      <c r="G994" t="s">
        <v>802</v>
      </c>
      <c r="H994" t="s">
        <v>13</v>
      </c>
      <c r="I994" t="s">
        <v>2676</v>
      </c>
      <c r="J994">
        <v>0</v>
      </c>
    </row>
    <row r="995" spans="1:10" x14ac:dyDescent="0.25">
      <c r="A995">
        <v>1017</v>
      </c>
      <c r="B995" t="s">
        <v>2677</v>
      </c>
      <c r="C995">
        <v>50</v>
      </c>
      <c r="D995" t="s">
        <v>22</v>
      </c>
      <c r="E995">
        <v>45821</v>
      </c>
      <c r="F995">
        <v>45672</v>
      </c>
      <c r="G995" t="s">
        <v>2678</v>
      </c>
      <c r="H995" t="s">
        <v>13</v>
      </c>
      <c r="I995">
        <v>370.13</v>
      </c>
      <c r="J995" t="s">
        <v>20</v>
      </c>
    </row>
    <row r="996" spans="1:10" x14ac:dyDescent="0.25">
      <c r="A996">
        <v>1068</v>
      </c>
      <c r="B996" t="s">
        <v>2679</v>
      </c>
      <c r="C996">
        <v>19</v>
      </c>
      <c r="D996" t="s">
        <v>68</v>
      </c>
      <c r="E996">
        <v>46048</v>
      </c>
      <c r="F996">
        <v>45624</v>
      </c>
      <c r="G996" t="s">
        <v>2680</v>
      </c>
      <c r="H996" t="s">
        <v>28</v>
      </c>
      <c r="I996" t="s">
        <v>2681</v>
      </c>
      <c r="J996" t="s">
        <v>20</v>
      </c>
    </row>
    <row r="997" spans="1:10" x14ac:dyDescent="0.25">
      <c r="A997">
        <v>1082</v>
      </c>
      <c r="B997" t="s">
        <v>2682</v>
      </c>
      <c r="C997">
        <v>64</v>
      </c>
      <c r="D997" t="s">
        <v>37</v>
      </c>
      <c r="E997">
        <v>45914</v>
      </c>
      <c r="F997">
        <v>45488</v>
      </c>
      <c r="G997" t="s">
        <v>2683</v>
      </c>
      <c r="H997" t="s">
        <v>28</v>
      </c>
      <c r="I997" t="s">
        <v>2684</v>
      </c>
      <c r="J997" t="s">
        <v>35</v>
      </c>
    </row>
    <row r="998" spans="1:10" x14ac:dyDescent="0.25">
      <c r="A998">
        <v>1008</v>
      </c>
      <c r="B998" t="s">
        <v>2685</v>
      </c>
      <c r="C998">
        <v>67</v>
      </c>
      <c r="D998" t="s">
        <v>16</v>
      </c>
      <c r="E998">
        <v>45756</v>
      </c>
      <c r="F998">
        <v>45463</v>
      </c>
      <c r="G998" t="s">
        <v>1052</v>
      </c>
      <c r="H998" t="s">
        <v>28</v>
      </c>
      <c r="I998" t="s">
        <v>2686</v>
      </c>
      <c r="J998" t="s">
        <v>30</v>
      </c>
    </row>
    <row r="999" spans="1:10" x14ac:dyDescent="0.25">
      <c r="A999">
        <v>1022</v>
      </c>
      <c r="B999" t="s">
        <v>1440</v>
      </c>
      <c r="C999">
        <v>28</v>
      </c>
      <c r="D999">
        <v>1</v>
      </c>
      <c r="E999">
        <v>46066</v>
      </c>
      <c r="F999">
        <v>45456</v>
      </c>
      <c r="G999" t="s">
        <v>2687</v>
      </c>
      <c r="H999" t="s">
        <v>24</v>
      </c>
      <c r="I999" t="s">
        <v>2688</v>
      </c>
      <c r="J999" t="s">
        <v>57</v>
      </c>
    </row>
    <row r="1000" spans="1:10" x14ac:dyDescent="0.25">
      <c r="A1000">
        <v>1088</v>
      </c>
      <c r="B1000" t="s">
        <v>1195</v>
      </c>
      <c r="C1000">
        <v>65</v>
      </c>
      <c r="D1000" t="s">
        <v>16</v>
      </c>
      <c r="E1000">
        <v>45842</v>
      </c>
      <c r="F1000">
        <v>45397</v>
      </c>
      <c r="G1000" t="s">
        <v>2689</v>
      </c>
      <c r="H1000" t="s">
        <v>24</v>
      </c>
      <c r="I1000">
        <v>434.95</v>
      </c>
      <c r="J1000">
        <v>0</v>
      </c>
    </row>
    <row r="1001" spans="1:10" x14ac:dyDescent="0.25">
      <c r="A1001">
        <v>1003</v>
      </c>
      <c r="B1001" t="s">
        <v>2690</v>
      </c>
      <c r="C1001">
        <v>79</v>
      </c>
      <c r="D1001" t="s">
        <v>68</v>
      </c>
      <c r="E1001">
        <v>45966</v>
      </c>
      <c r="F1001">
        <v>45495</v>
      </c>
      <c r="G1001" t="s">
        <v>2691</v>
      </c>
      <c r="H1001" t="s">
        <v>13</v>
      </c>
      <c r="I1001" t="s">
        <v>2692</v>
      </c>
      <c r="J1001" t="s">
        <v>20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10615C-7685-40A3-9F46-53F1B0056B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clean table</vt:lpstr>
      <vt:lpstr>messy_clinic_appointments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Bahar</dc:creator>
  <cp:lastModifiedBy>Bahar</cp:lastModifiedBy>
  <dcterms:created xsi:type="dcterms:W3CDTF">2026-10-17T17:10:07Z</dcterms:created>
  <dcterms:modified xsi:type="dcterms:W3CDTF">2026-10-18T13:41:13Z</dcterms:modified>
</cp:coreProperties>
</file>